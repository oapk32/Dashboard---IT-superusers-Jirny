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dce81a2e9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Log" sheetId="1" r:id="R18209f4e949a473a"/>
    <x:sheet xmlns:r="http://schemas.openxmlformats.org/officeDocument/2006/relationships" name="Overview" sheetId="2" r:id="Rb8559165c63c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3">
    <x:font>
      <x:sz val="11"/>
      <x:name val="Carlito"/>
    </x:font>
    <x:font>
      <x:sz val="10"/>
      <x:color rgb="FF18324D"/>
      <x:name val="Arial"/>
    </x:font>
    <x:font>
      <x:b/>
      <x:sz val="16"/>
      <x:color rgb="FF203B5A"/>
      <x:name val="Arial"/>
    </x:font>
    <x:font>
      <x:i/>
      <x:sz val="10"/>
      <x:color rgb="FF607487"/>
      <x:name val="Arial"/>
    </x:font>
    <x:font>
      <x:b/>
      <x:sz val="10"/>
      <x:color rgb="FF607487"/>
      <x:name val="Arial"/>
    </x:font>
    <x:font>
      <x:b/>
      <x:sz val="10"/>
      <x:color rgb="FFFFFFFF"/>
      <x:name val="Arial"/>
    </x:font>
    <x:font>
      <x:b/>
      <x:sz val="17"/>
      <x:color rgb="FF203B5A"/>
      <x:name val="Arial"/>
    </x:font>
    <x:font>
      <x:b/>
      <x:sz val="11"/>
      <x:color rgb="FF203B5A"/>
      <x:name val="Arial"/>
    </x:font>
    <x:font>
      <x:b/>
      <x:sz val="10"/>
      <x:color rgb="FF42647D"/>
      <x:name val="Arial"/>
    </x:font>
    <x:font>
      <x:b/>
      <x:sz val="10"/>
      <x:color rgb="FF17633B"/>
      <x:name val="Arial"/>
    </x:font>
    <x:font>
      <x:b/>
      <x:sz val="10"/>
      <x:color rgb="FFA12532"/>
      <x:name val="Arial"/>
    </x:font>
    <x:font>
      <x:b/>
      <x:sz val="10"/>
      <x:color rgb="FF7A5609"/>
      <x:name val="Arial"/>
    </x:font>
    <x:font>
      <x:b/>
      <x:sz val="10"/>
      <x:color rgb="FF6544A1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203B5A"/>
      </x:patternFill>
    </x:fill>
    <x:fill>
      <x:patternFill patternType="solid">
        <x:fgColor rgb="FFFFFFFF"/>
      </x:patternFill>
    </x:fill>
    <x:fill>
      <x:patternFill patternType="solid">
        <x:fgColor rgb="FFFFFDF8"/>
      </x:patternFill>
    </x:fill>
    <x:fill>
      <x:patternFill patternType="solid">
        <x:fgColor rgb="FFF7FAFC"/>
      </x:patternFill>
    </x:fill>
    <x:fill>
      <x:patternFill patternType="solid">
        <x:fgColor rgb="FFE8F0F6"/>
      </x:patternFill>
    </x:fill>
    <x:fill>
      <x:patternFill patternType="solid">
        <x:fgColor rgb="FFE2F4E8"/>
      </x:patternFill>
    </x:fill>
    <x:fill>
      <x:patternFill patternType="solid">
        <x:fgColor rgb="FFFDE5E7"/>
      </x:patternFill>
    </x:fill>
    <x:fill>
      <x:patternFill patternType="solid">
        <x:fgColor rgb="FFFFF4D3"/>
      </x:patternFill>
    </x:fill>
    <x:fill>
      <x:patternFill patternType="solid">
        <x:fgColor rgb="FFEEE8FA"/>
      </x:patternFill>
    </x:fill>
  </x:fills>
  <x:borders count="4">
    <x:border/>
    <x:border>
      <x:bottom style="thin">
        <x:color rgb="FFD8E1E9"/>
      </x:bottom>
    </x:border>
    <x:border>
      <x:bottom style="medium">
        <x:color rgb="FF9CB2C7"/>
      </x:bottom>
    </x:border>
    <x:border>
      <x:bottom style="medium">
        <x:color rgb="FFB8C9D7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3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3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b/>
        <x:color rgb="FF42647D"/>
      </x:font>
      <x:fill>
        <x:patternFill patternType="solid">
          <x:bgColor rgb="FFE8F0F6"/>
        </x:patternFill>
      </x:fill>
    </x:dxf>
    <x:dxf>
      <x:font>
        <x:b/>
        <x:color rgb="FF17633B"/>
      </x:font>
      <x:fill>
        <x:patternFill patternType="solid">
          <x:bgColor rgb="FFE2F4E8"/>
        </x:patternFill>
      </x:fill>
    </x:dxf>
    <x:dxf>
      <x:font>
        <x:b/>
        <x:color rgb="FFA12532"/>
      </x:font>
      <x:fill>
        <x:patternFill patternType="solid">
          <x:bgColor rgb="FFFDE5E7"/>
        </x:patternFill>
      </x:fill>
    </x:dxf>
    <x:dxf>
      <x:font>
        <x:b/>
        <x:color rgb="FF7A5609"/>
      </x:font>
      <x:fill>
        <x:patternFill patternType="solid">
          <x:bgColor rgb="FFFFF4D3"/>
        </x:patternFill>
      </x:fill>
    </x:dxf>
    <x:dxf>
      <x:font>
        <x:b/>
        <x:color rgb="FF6544A1"/>
      </x:font>
      <x:fill>
        <x:patternFill patternType="solid">
          <x:bgColor rgb="FFEEE8FA"/>
        </x:patternFill>
      </x:fill>
    </x:dxf>
    <x:dxf>
      <x:font>
        <x:b/>
        <x:color rgb="FF42647D"/>
      </x:font>
      <x:fill>
        <x:patternFill patternType="solid">
          <x:bgColor rgb="FFE8F0F6"/>
        </x:patternFill>
      </x:fill>
    </x:dxf>
    <x:dxf>
      <x:font>
        <x:b/>
        <x:color rgb="FF17633B"/>
      </x:font>
      <x:fill>
        <x:patternFill patternType="solid">
          <x:bgColor rgb="FFE2F4E8"/>
        </x:patternFill>
      </x:fill>
    </x:dxf>
    <x:dxf>
      <x:font>
        <x:b/>
        <x:color rgb="FFA12532"/>
      </x:font>
      <x:fill>
        <x:patternFill patternType="solid">
          <x:bgColor rgb="FFFDE5E7"/>
        </x:patternFill>
      </x:fill>
    </x:dxf>
    <x:dxf>
      <x:font>
        <x:b/>
        <x:color rgb="FF7A5609"/>
      </x:font>
      <x:fill>
        <x:patternFill patternType="solid">
          <x:bgColor rgb="FFFFF4D3"/>
        </x:patternFill>
      </x:fill>
    </x:dxf>
    <x:dxf>
      <x:font>
        <x:b/>
        <x:color rgb="FF6544A1"/>
      </x:font>
      <x:fill>
        <x:patternFill patternType="solid">
          <x:bgColor rgb="FFEEE8FA"/>
        </x:patternFill>
      </x:fill>
    </x:dxf>
    <x:dxf>
      <x:font>
        <x:b/>
        <x:color rgb="FF42647D"/>
      </x:font>
      <x:fill>
        <x:patternFill patternType="solid">
          <x:bgColor rgb="FFE8F0F6"/>
        </x:patternFill>
      </x:fill>
    </x:dxf>
    <x:dxf>
      <x:font>
        <x:b/>
        <x:color rgb="FF17633B"/>
      </x:font>
      <x:fill>
        <x:patternFill patternType="solid">
          <x:bgColor rgb="FFE2F4E8"/>
        </x:patternFill>
      </x:fill>
    </x:dxf>
    <x:dxf>
      <x:font>
        <x:b/>
        <x:color rgb="FFA12532"/>
      </x:font>
      <x:fill>
        <x:patternFill patternType="solid">
          <x:bgColor rgb="FFFDE5E7"/>
        </x:patternFill>
      </x:fill>
    </x:dxf>
    <x:dxf>
      <x:font>
        <x:b/>
        <x:color rgb="FF7A5609"/>
      </x:font>
      <x:fill>
        <x:patternFill patternType="solid">
          <x:bgColor rgb="FFFFF4D3"/>
        </x:patternFill>
      </x:fill>
    </x:dxf>
    <x:dxf>
      <x:font>
        <x:b/>
        <x:color rgb="FF6544A1"/>
      </x:font>
      <x:fill>
        <x:patternFill patternType="solid">
          <x:bgColor rgb="FFEEE8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94dde5fd24eae" /><Relationship Type="http://schemas.openxmlformats.org/officeDocument/2006/relationships/theme" Target="/xl/theme/theme1.xml" Id="R77cc9f90c924427d" /><Relationship Type="http://schemas.openxmlformats.org/officeDocument/2006/relationships/sharedStrings" Target="/xl/sharedStrings.xml" Id="R498c1ed39cd64892" /><Relationship Type="http://schemas.openxmlformats.org/officeDocument/2006/relationships/worksheet" Target="/xl/worksheets/sheet1.xml" Id="R18209f4e949a473a" /><Relationship Type="http://schemas.openxmlformats.org/officeDocument/2006/relationships/worksheet" Target="/xl/worksheets/sheet2.xml" Id="Rb8559165c63c4b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8cf84268df4fb7" /><Relationship Type="http://schemas.openxmlformats.org/officeDocument/2006/relationships/chart" Target="/xl/drawings/charts/chart2.xml" Id="R269182ef3bcf48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Latest status of tests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Tests</c:v>
          </c:tx>
          <c:cat>
            <c:strRef>
              <c:f>'Overview'!$A$10:$A$14</c:f>
              <c:strCache>
                <c:ptCount val="0"/>
              </c:strCache>
            </c:strRef>
          </c:cat>
          <c:val>
            <c:numRef>
              <c:f>'Overview'!$B$10:$B$14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Outcomes by tester and run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Passed</c:v>
          </c:tx>
          <c:cat>
            <c:strRef>
              <c:f>'Overview'!$A$27:$A$29</c:f>
              <c:strCache>
                <c:ptCount val="0"/>
              </c:strCache>
            </c:strRef>
          </c:cat>
          <c:val>
            <c:numRef>
              <c:f>'Overview'!$B$27:$B$29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Failed</c:v>
          </c:tx>
          <c:cat>
            <c:strRef>
              <c:f>'Overview'!$A$27:$A$29</c:f>
              <c:strCache>
                <c:ptCount val="0"/>
              </c:strCache>
            </c:strRef>
          </c:cat>
          <c:val>
            <c:numRef>
              <c:f>'Overview'!$C$27:$C$29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In Progress</c:v>
          </c:tx>
          <c:cat>
            <c:strRef>
              <c:f>'Overview'!$A$27:$A$29</c:f>
              <c:strCache>
                <c:ptCount val="0"/>
              </c:strCache>
            </c:strRef>
          </c:cat>
          <c:val>
            <c:numRef>
              <c:f>'Overview'!$D$27:$D$29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Re-test</c:v>
          </c:tx>
          <c:cat>
            <c:strRef>
              <c:f>'Overview'!$A$27:$A$29</c:f>
              <c:strCache>
                <c:ptCount val="0"/>
              </c:strCache>
            </c:strRef>
          </c:cat>
          <c:val>
            <c:numRef>
              <c:f>'Overview'!$E$27:$E$29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8cf84268df4fb7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9182ef3bcf48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383035a7d8d4b03" /></Relationships>
</file>

<file path=xl/worksheets/sheet1.xml><?xml version="1.0" encoding="utf-8"?>
<x:worksheet xmlns:x="http://schemas.openxmlformats.org/spreadsheetml/2006/main">
  <x:sheetPr>
    <x:tabColor rgb="FF203B5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1.5600004196167" hidden="0" customWidth="1"/>
    <x:col min="2" max="2" width="12.4399995803833" hidden="0" customWidth="1"/>
    <x:col min="3" max="3" width="24.440000534057617" hidden="0" customWidth="1"/>
    <x:col min="4" max="4" width="27.780000686645508" hidden="0" customWidth="1"/>
    <x:col min="5" max="5" width="23.329999923706055" hidden="0" customWidth="1"/>
    <x:col min="6" max="6" width="6.670000076293945" hidden="0" customWidth="1"/>
    <x:col min="7" max="7" width="35.560001373291016" hidden="0" customWidth="1"/>
    <x:col min="8" max="8" width="12.890000343322754" hidden="0" customWidth="1"/>
    <x:col min="9" max="9" width="12.890000343322754" hidden="0" customWidth="1"/>
    <x:col min="10" max="10" width="27.780000686645508" hidden="0" customWidth="1"/>
    <x:col min="11" max="11" width="12.890000343322754" hidden="0" customWidth="1"/>
    <x:col min="12" max="12" width="12.890000343322754" hidden="0" customWidth="1"/>
    <x:col min="13" max="13" width="27.780000686645508" hidden="0" customWidth="1"/>
    <x:col min="14" max="14" width="13.3299999237060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Picking Handover UAT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8.75" customHeight="1">
      <x:c r="A3" s="5" t="str">
        <x:v>Three step rows per test. EX records are examples; replace them with your own tests.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9" t="str">
        <x:v>Project</x:v>
      </x:c>
      <x:c r="B5" s="6" t="str">
        <x:v>Picking Handover</x:v>
      </x:c>
      <x:c r="C5" s="9" t="str">
        <x:v>Starting date</x:v>
      </x:c>
      <x:c r="D5" s="10" t="n">
        <x:v>46295</x:v>
      </x:c>
      <x:c r="E5" s="9" t="str">
        <x:v>Tests</x:v>
      </x:c>
      <x:c r="F5" s="6" t="n">
        <x:f>COUNTA(C9:C83)</x:f>
        <x:v>5</x:v>
      </x:c>
      <x:c r="G5" s="9" t="str">
        <x:v>Failed (latest)</x:v>
      </x:c>
      <x:c r="H5" s="6" t="n">
        <x:f>COUNTIF(N9:N83,"Failed")</x:f>
        <x:v>0</x:v>
      </x:c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4" t="str">
        <x:v>Enter test details on the first row of each 3-row group; enter each test step on its own row.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1.5" customHeight="1">
      <x:c r="A8" s="15" t="str">
        <x:v>Date</x:v>
      </x:c>
      <x:c r="B8" s="15" t="str">
        <x:v>Server</x:v>
      </x:c>
      <x:c r="C8" s="15" t="str">
        <x:v>Test No.</x:v>
      </x:c>
      <x:c r="D8" s="15" t="str">
        <x:v>Test Name</x:v>
      </x:c>
      <x:c r="E8" s="15" t="str">
        <x:v>Test Subject</x:v>
      </x:c>
      <x:c r="F8" s="15" t="str">
        <x:v>Step #</x:v>
      </x:c>
      <x:c r="G8" s="15" t="str">
        <x:v>Test Step</x:v>
      </x:c>
      <x:c r="H8" s="15" t="str">
        <x:v>Run 1 Tester</x:v>
      </x:c>
      <x:c r="I8" s="15" t="str">
        <x:v>Run 1 Status</x:v>
      </x:c>
      <x:c r="J8" s="15" t="str">
        <x:v>Run 1 Comment</x:v>
      </x:c>
      <x:c r="K8" s="15" t="str">
        <x:v>Run 2 Tester</x:v>
      </x:c>
      <x:c r="L8" s="15" t="str">
        <x:v>Run 2 Status</x:v>
      </x:c>
      <x:c r="M8" s="15" t="str">
        <x:v>Run 2 Comment</x:v>
      </x:c>
      <x:c r="N8" s="15" t="str">
        <x:v>Latest Status</x:v>
      </x:c>
    </x:row>
    <x:row r="9" ht="29.25" customHeight="1">
      <x:c r="A9" s="18" t="n">
        <x:f>IF(C9="","",$D$5)</x:f>
        <x:v>46295</x:v>
      </x:c>
      <x:c r="B9" s="24" t="str">
        <x:v>CZJIRT2</x:v>
      </x:c>
      <x:c r="C9" s="24" t="str">
        <x:v>EX-001</x:v>
      </x:c>
      <x:c r="D9" s="24" t="str">
        <x:v>Create a picking handover</x:v>
      </x:c>
      <x:c r="E9" s="24" t="str"/>
      <x:c r="F9" s="22" t="n">
        <x:v>1</x:v>
      </x:c>
      <x:c r="G9" s="24"/>
      <x:c r="H9" s="24" t="str">
        <x:v>Tester 1</x:v>
      </x:c>
      <x:c r="I9" s="24" t="str">
        <x:v>Passed</x:v>
      </x:c>
      <x:c r="J9" s="24"/>
      <x:c r="K9" s="24" t="str"/>
      <x:c r="L9" s="24" t="str">
        <x:v>Available</x:v>
      </x:c>
      <x:c r="M9" s="24"/>
      <x:c r="N9" s="19" t="str">
        <x:f>IF(C9="","",IF(AND(L9&lt;&gt;"",L9&lt;&gt;"Available"),L9,I9))</x:f>
        <x:v>Passed</x:v>
      </x:c>
    </x:row>
    <x:row r="10" ht="29.25" customHeight="1">
      <x:c r="A10" s="18"/>
      <x:c r="B10" s="19"/>
      <x:c r="C10" s="19"/>
      <x:c r="D10" s="19"/>
      <x:c r="E10" s="19"/>
      <x:c r="F10" s="22" t="n">
        <x:v>2</x:v>
      </x:c>
      <x:c r="G10" s="24"/>
      <x:c r="H10" s="19"/>
      <x:c r="I10" s="19"/>
      <x:c r="J10" s="19"/>
      <x:c r="K10" s="19"/>
      <x:c r="L10" s="19"/>
      <x:c r="M10" s="19"/>
      <x:c r="N10" s="19"/>
    </x:row>
    <x:row r="11" ht="29.25" customHeight="1">
      <x:c r="A11" s="20"/>
      <x:c r="B11" s="21"/>
      <x:c r="C11" s="21"/>
      <x:c r="D11" s="21"/>
      <x:c r="E11" s="21"/>
      <x:c r="F11" s="23" t="n">
        <x:v>3</x:v>
      </x:c>
      <x:c r="G11" s="25"/>
      <x:c r="H11" s="21"/>
      <x:c r="I11" s="21"/>
      <x:c r="J11" s="21"/>
      <x:c r="K11" s="21"/>
      <x:c r="L11" s="21"/>
      <x:c r="M11" s="21"/>
      <x:c r="N11" s="21"/>
    </x:row>
    <x:row r="12" ht="29.25" customHeight="1">
      <x:c r="A12" s="26" t="n">
        <x:f>IF(C12="","",$D$5)</x:f>
        <x:v>46295</x:v>
      </x:c>
      <x:c r="B12" s="24" t="str">
        <x:v>CZJIRT2</x:v>
      </x:c>
      <x:c r="C12" s="24" t="str">
        <x:v>EX-002</x:v>
      </x:c>
      <x:c r="D12" s="24" t="str">
        <x:v>Accept transferred work</x:v>
      </x:c>
      <x:c r="E12" s="24" t="str"/>
      <x:c r="F12" s="30" t="n">
        <x:v>1</x:v>
      </x:c>
      <x:c r="G12" s="24"/>
      <x:c r="H12" s="24" t="str">
        <x:v>Tester 2</x:v>
      </x:c>
      <x:c r="I12" s="24" t="str">
        <x:v>Failed</x:v>
      </x:c>
      <x:c r="J12" s="24"/>
      <x:c r="K12" s="24" t="str">
        <x:v>Tester 2</x:v>
      </x:c>
      <x:c r="L12" s="24" t="str">
        <x:v>Re-test</x:v>
      </x:c>
      <x:c r="M12" s="24"/>
      <x:c r="N12" s="27" t="str">
        <x:f>IF(C12="","",IF(AND(L12&lt;&gt;"",L12&lt;&gt;"Available"),L12,I12))</x:f>
        <x:v>Re-test</x:v>
      </x:c>
    </x:row>
    <x:row r="13" ht="29.25" customHeight="1">
      <x:c r="A13" s="26"/>
      <x:c r="B13" s="27"/>
      <x:c r="C13" s="27"/>
      <x:c r="D13" s="27"/>
      <x:c r="E13" s="27"/>
      <x:c r="F13" s="30" t="n">
        <x:v>2</x:v>
      </x:c>
      <x:c r="G13" s="24"/>
      <x:c r="H13" s="27"/>
      <x:c r="I13" s="27"/>
      <x:c r="J13" s="27"/>
      <x:c r="K13" s="27"/>
      <x:c r="L13" s="27"/>
      <x:c r="M13" s="27"/>
      <x:c r="N13" s="27"/>
    </x:row>
    <x:row r="14" ht="29.25" customHeight="1">
      <x:c r="A14" s="28"/>
      <x:c r="B14" s="29"/>
      <x:c r="C14" s="29"/>
      <x:c r="D14" s="29"/>
      <x:c r="E14" s="29"/>
      <x:c r="F14" s="31" t="n">
        <x:v>3</x:v>
      </x:c>
      <x:c r="G14" s="25"/>
      <x:c r="H14" s="29"/>
      <x:c r="I14" s="29"/>
      <x:c r="J14" s="29"/>
      <x:c r="K14" s="29"/>
      <x:c r="L14" s="29"/>
      <x:c r="M14" s="29"/>
      <x:c r="N14" s="29"/>
    </x:row>
    <x:row r="15" ht="29.25" customHeight="1">
      <x:c r="A15" s="18" t="n">
        <x:f>IF(C15="","",$D$5)</x:f>
        <x:v>46295</x:v>
      </x:c>
      <x:c r="B15" s="24" t="str">
        <x:v>CZJIRD2</x:v>
      </x:c>
      <x:c r="C15" s="24" t="str">
        <x:v>EX-003</x:v>
      </x:c>
      <x:c r="D15" s="24" t="str">
        <x:v>Return work to sender</x:v>
      </x:c>
      <x:c r="E15" s="24" t="str"/>
      <x:c r="F15" s="22" t="n">
        <x:v>1</x:v>
      </x:c>
      <x:c r="G15" s="24"/>
      <x:c r="H15" s="24" t="str">
        <x:v>Tester 3</x:v>
      </x:c>
      <x:c r="I15" s="24" t="str">
        <x:v>In Progress</x:v>
      </x:c>
      <x:c r="J15" s="24"/>
      <x:c r="K15" s="24" t="str"/>
      <x:c r="L15" s="24" t="str">
        <x:v>Available</x:v>
      </x:c>
      <x:c r="M15" s="24"/>
      <x:c r="N15" s="19" t="str">
        <x:f>IF(C15="","",IF(AND(L15&lt;&gt;"",L15&lt;&gt;"Available"),L15,I15))</x:f>
        <x:v>In Progress</x:v>
      </x:c>
    </x:row>
    <x:row r="16" ht="29.25" customHeight="1">
      <x:c r="A16" s="18"/>
      <x:c r="B16" s="19"/>
      <x:c r="C16" s="19"/>
      <x:c r="D16" s="19"/>
      <x:c r="E16" s="19"/>
      <x:c r="F16" s="22" t="n">
        <x:v>2</x:v>
      </x:c>
      <x:c r="G16" s="24"/>
      <x:c r="H16" s="19"/>
      <x:c r="I16" s="19"/>
      <x:c r="J16" s="19"/>
      <x:c r="K16" s="19"/>
      <x:c r="L16" s="19"/>
      <x:c r="M16" s="19"/>
      <x:c r="N16" s="19"/>
    </x:row>
    <x:row r="17" ht="29.25" customHeight="1">
      <x:c r="A17" s="20"/>
      <x:c r="B17" s="21"/>
      <x:c r="C17" s="21"/>
      <x:c r="D17" s="21"/>
      <x:c r="E17" s="21"/>
      <x:c r="F17" s="23" t="n">
        <x:v>3</x:v>
      </x:c>
      <x:c r="G17" s="25"/>
      <x:c r="H17" s="21"/>
      <x:c r="I17" s="21"/>
      <x:c r="J17" s="21"/>
      <x:c r="K17" s="21"/>
      <x:c r="L17" s="21"/>
      <x:c r="M17" s="21"/>
      <x:c r="N17" s="21"/>
    </x:row>
    <x:row r="18" ht="29.25" customHeight="1">
      <x:c r="A18" s="26" t="n">
        <x:f>IF(C18="","",$D$5)</x:f>
        <x:v>46295</x:v>
      </x:c>
      <x:c r="B18" s="24" t="str">
        <x:v>CZJIRD3</x:v>
      </x:c>
      <x:c r="C18" s="24" t="str">
        <x:v>EX-004</x:v>
      </x:c>
      <x:c r="D18" s="24" t="str">
        <x:v>Review handover history</x:v>
      </x:c>
      <x:c r="E18" s="24" t="str"/>
      <x:c r="F18" s="30" t="n">
        <x:v>1</x:v>
      </x:c>
      <x:c r="G18" s="24"/>
      <x:c r="H18" s="24" t="str"/>
      <x:c r="I18" s="24" t="str">
        <x:v>Available</x:v>
      </x:c>
      <x:c r="J18" s="24"/>
      <x:c r="K18" s="24" t="str"/>
      <x:c r="L18" s="24" t="str">
        <x:v>Available</x:v>
      </x:c>
      <x:c r="M18" s="24"/>
      <x:c r="N18" s="27" t="str">
        <x:f>IF(C18="","",IF(AND(L18&lt;&gt;"",L18&lt;&gt;"Available"),L18,I18))</x:f>
        <x:v>Available</x:v>
      </x:c>
    </x:row>
    <x:row r="19" ht="29.25" customHeight="1">
      <x:c r="A19" s="26"/>
      <x:c r="B19" s="27"/>
      <x:c r="C19" s="27"/>
      <x:c r="D19" s="27"/>
      <x:c r="E19" s="27"/>
      <x:c r="F19" s="30" t="n">
        <x:v>2</x:v>
      </x:c>
      <x:c r="G19" s="24"/>
      <x:c r="H19" s="27"/>
      <x:c r="I19" s="27"/>
      <x:c r="J19" s="27"/>
      <x:c r="K19" s="27"/>
      <x:c r="L19" s="27"/>
      <x:c r="M19" s="27"/>
      <x:c r="N19" s="27"/>
    </x:row>
    <x:row r="20" ht="29.25" customHeight="1">
      <x:c r="A20" s="28"/>
      <x:c r="B20" s="29"/>
      <x:c r="C20" s="29"/>
      <x:c r="D20" s="29"/>
      <x:c r="E20" s="29"/>
      <x:c r="F20" s="31" t="n">
        <x:v>3</x:v>
      </x:c>
      <x:c r="G20" s="25"/>
      <x:c r="H20" s="29"/>
      <x:c r="I20" s="29"/>
      <x:c r="J20" s="29"/>
      <x:c r="K20" s="29"/>
      <x:c r="L20" s="29"/>
      <x:c r="M20" s="29"/>
      <x:c r="N20" s="29"/>
    </x:row>
    <x:row r="21" ht="29.25" customHeight="1">
      <x:c r="A21" s="18" t="n">
        <x:f>IF(C21="","",$D$5)</x:f>
        <x:v>46295</x:v>
      </x:c>
      <x:c r="B21" s="24" t="str">
        <x:v>CZJIRT3</x:v>
      </x:c>
      <x:c r="C21" s="24" t="str">
        <x:v>EX-005</x:v>
      </x:c>
      <x:c r="D21" s="24" t="str">
        <x:v>Verify handover audit</x:v>
      </x:c>
      <x:c r="E21" s="24" t="str"/>
      <x:c r="F21" s="22" t="n">
        <x:v>1</x:v>
      </x:c>
      <x:c r="G21" s="24"/>
      <x:c r="H21" s="24" t="str">
        <x:v>Tester 1</x:v>
      </x:c>
      <x:c r="I21" s="24" t="str">
        <x:v>Passed</x:v>
      </x:c>
      <x:c r="J21" s="24"/>
      <x:c r="K21" s="24" t="str">
        <x:v>Tester 3</x:v>
      </x:c>
      <x:c r="L21" s="24" t="str">
        <x:v>Passed</x:v>
      </x:c>
      <x:c r="M21" s="24"/>
      <x:c r="N21" s="19" t="str">
        <x:f>IF(C21="","",IF(AND(L21&lt;&gt;"",L21&lt;&gt;"Available"),L21,I21))</x:f>
        <x:v>Passed</x:v>
      </x:c>
    </x:row>
    <x:row r="22" ht="29.25" customHeight="1">
      <x:c r="A22" s="18"/>
      <x:c r="B22" s="19"/>
      <x:c r="C22" s="19"/>
      <x:c r="D22" s="19"/>
      <x:c r="E22" s="19"/>
      <x:c r="F22" s="22" t="n">
        <x:v>2</x:v>
      </x:c>
      <x:c r="G22" s="24"/>
      <x:c r="H22" s="19"/>
      <x:c r="I22" s="19"/>
      <x:c r="J22" s="19"/>
      <x:c r="K22" s="19"/>
      <x:c r="L22" s="19"/>
      <x:c r="M22" s="19"/>
      <x:c r="N22" s="19"/>
    </x:row>
    <x:row r="23" ht="29.25" customHeight="1">
      <x:c r="A23" s="20"/>
      <x:c r="B23" s="21"/>
      <x:c r="C23" s="21"/>
      <x:c r="D23" s="21"/>
      <x:c r="E23" s="21"/>
      <x:c r="F23" s="23" t="n">
        <x:v>3</x:v>
      </x:c>
      <x:c r="G23" s="25"/>
      <x:c r="H23" s="21"/>
      <x:c r="I23" s="21"/>
      <x:c r="J23" s="21"/>
      <x:c r="K23" s="21"/>
      <x:c r="L23" s="21"/>
      <x:c r="M23" s="21"/>
      <x:c r="N23" s="21"/>
    </x:row>
    <x:row r="24" ht="29.25" customHeight="1">
      <x:c r="A24" s="26" t="str">
        <x:f>IF(C24="","",$D$5)</x:f>
      </x:c>
      <x:c r="B24" s="24"/>
      <x:c r="C24" s="24"/>
      <x:c r="D24" s="24"/>
      <x:c r="E24" s="24"/>
      <x:c r="F24" s="30" t="n">
        <x:v>1</x:v>
      </x:c>
      <x:c r="G24" s="24"/>
      <x:c r="H24" s="24"/>
      <x:c r="I24" s="24" t="str">
        <x:f>IF(C24="","","Available")</x:f>
      </x:c>
      <x:c r="J24" s="24"/>
      <x:c r="K24" s="24"/>
      <x:c r="L24" s="24" t="str">
        <x:f>IF(C24="","","Available")</x:f>
      </x:c>
      <x:c r="M24" s="24"/>
      <x:c r="N24" s="27" t="str">
        <x:f>IF(C24="","",IF(AND(L24&lt;&gt;"",L24&lt;&gt;"Available"),L24,I24))</x:f>
      </x:c>
    </x:row>
    <x:row r="25" ht="29.25" customHeight="1">
      <x:c r="A25" s="26"/>
      <x:c r="B25" s="27"/>
      <x:c r="C25" s="27"/>
      <x:c r="D25" s="27"/>
      <x:c r="E25" s="27"/>
      <x:c r="F25" s="30" t="n">
        <x:v>2</x:v>
      </x:c>
      <x:c r="G25" s="24"/>
      <x:c r="H25" s="27"/>
      <x:c r="I25" s="27"/>
      <x:c r="J25" s="27"/>
      <x:c r="K25" s="27"/>
      <x:c r="L25" s="27"/>
      <x:c r="M25" s="27"/>
      <x:c r="N25" s="27"/>
    </x:row>
    <x:row r="26" ht="29.25" customHeight="1">
      <x:c r="A26" s="28"/>
      <x:c r="B26" s="29"/>
      <x:c r="C26" s="29"/>
      <x:c r="D26" s="29"/>
      <x:c r="E26" s="29"/>
      <x:c r="F26" s="31" t="n">
        <x:v>3</x:v>
      </x:c>
      <x:c r="G26" s="25"/>
      <x:c r="H26" s="29"/>
      <x:c r="I26" s="29"/>
      <x:c r="J26" s="29"/>
      <x:c r="K26" s="29"/>
      <x:c r="L26" s="29"/>
      <x:c r="M26" s="29"/>
      <x:c r="N26" s="29"/>
    </x:row>
    <x:row r="27" ht="29.25" customHeight="1">
      <x:c r="A27" s="18" t="str">
        <x:f>IF(C27="","",$D$5)</x:f>
      </x:c>
      <x:c r="B27" s="24"/>
      <x:c r="C27" s="24"/>
      <x:c r="D27" s="24"/>
      <x:c r="E27" s="24"/>
      <x:c r="F27" s="22" t="n">
        <x:v>1</x:v>
      </x:c>
      <x:c r="G27" s="24"/>
      <x:c r="H27" s="24"/>
      <x:c r="I27" s="24" t="str">
        <x:f>IF(C27="","","Available")</x:f>
      </x:c>
      <x:c r="J27" s="24"/>
      <x:c r="K27" s="24"/>
      <x:c r="L27" s="24" t="str">
        <x:f>IF(C27="","","Available")</x:f>
      </x:c>
      <x:c r="M27" s="24"/>
      <x:c r="N27" s="19" t="str">
        <x:f>IF(C27="","",IF(AND(L27&lt;&gt;"",L27&lt;&gt;"Available"),L27,I27))</x:f>
      </x:c>
    </x:row>
    <x:row r="28" ht="29.25" customHeight="1">
      <x:c r="A28" s="18"/>
      <x:c r="B28" s="19"/>
      <x:c r="C28" s="19"/>
      <x:c r="D28" s="19"/>
      <x:c r="E28" s="19"/>
      <x:c r="F28" s="22" t="n">
        <x:v>2</x:v>
      </x:c>
      <x:c r="G28" s="24"/>
      <x:c r="H28" s="19"/>
      <x:c r="I28" s="19"/>
      <x:c r="J28" s="19"/>
      <x:c r="K28" s="19"/>
      <x:c r="L28" s="19"/>
      <x:c r="M28" s="19"/>
      <x:c r="N28" s="19"/>
    </x:row>
    <x:row r="29" ht="29.25" customHeight="1">
      <x:c r="A29" s="20"/>
      <x:c r="B29" s="21"/>
      <x:c r="C29" s="21"/>
      <x:c r="D29" s="21"/>
      <x:c r="E29" s="21"/>
      <x:c r="F29" s="23" t="n">
        <x:v>3</x:v>
      </x:c>
      <x:c r="G29" s="25"/>
      <x:c r="H29" s="21"/>
      <x:c r="I29" s="21"/>
      <x:c r="J29" s="21"/>
      <x:c r="K29" s="21"/>
      <x:c r="L29" s="21"/>
      <x:c r="M29" s="21"/>
      <x:c r="N29" s="21"/>
    </x:row>
    <x:row r="30" ht="29.25" customHeight="1">
      <x:c r="A30" s="26" t="str">
        <x:f>IF(C30="","",$D$5)</x:f>
      </x:c>
      <x:c r="B30" s="24"/>
      <x:c r="C30" s="24"/>
      <x:c r="D30" s="24"/>
      <x:c r="E30" s="24"/>
      <x:c r="F30" s="30" t="n">
        <x:v>1</x:v>
      </x:c>
      <x:c r="G30" s="24"/>
      <x:c r="H30" s="24"/>
      <x:c r="I30" s="24" t="str">
        <x:f>IF(C30="","","Available")</x:f>
      </x:c>
      <x:c r="J30" s="24"/>
      <x:c r="K30" s="24"/>
      <x:c r="L30" s="24" t="str">
        <x:f>IF(C30="","","Available")</x:f>
      </x:c>
      <x:c r="M30" s="24"/>
      <x:c r="N30" s="27" t="str">
        <x:f>IF(C30="","",IF(AND(L30&lt;&gt;"",L30&lt;&gt;"Available"),L30,I30))</x:f>
      </x:c>
    </x:row>
    <x:row r="31" ht="29.25" customHeight="1">
      <x:c r="A31" s="26"/>
      <x:c r="B31" s="27"/>
      <x:c r="C31" s="27"/>
      <x:c r="D31" s="27"/>
      <x:c r="E31" s="27"/>
      <x:c r="F31" s="30" t="n">
        <x:v>2</x:v>
      </x:c>
      <x:c r="G31" s="24"/>
      <x:c r="H31" s="27"/>
      <x:c r="I31" s="27"/>
      <x:c r="J31" s="27"/>
      <x:c r="K31" s="27"/>
      <x:c r="L31" s="27"/>
      <x:c r="M31" s="27"/>
      <x:c r="N31" s="27"/>
    </x:row>
    <x:row r="32" ht="29.25" customHeight="1">
      <x:c r="A32" s="28"/>
      <x:c r="B32" s="29"/>
      <x:c r="C32" s="29"/>
      <x:c r="D32" s="29"/>
      <x:c r="E32" s="29"/>
      <x:c r="F32" s="31" t="n">
        <x:v>3</x:v>
      </x:c>
      <x:c r="G32" s="25"/>
      <x:c r="H32" s="29"/>
      <x:c r="I32" s="29"/>
      <x:c r="J32" s="29"/>
      <x:c r="K32" s="29"/>
      <x:c r="L32" s="29"/>
      <x:c r="M32" s="29"/>
      <x:c r="N32" s="29"/>
    </x:row>
    <x:row r="33" ht="29.25" customHeight="1">
      <x:c r="A33" s="18" t="str">
        <x:f>IF(C33="","",$D$5)</x:f>
      </x:c>
      <x:c r="B33" s="24"/>
      <x:c r="C33" s="24"/>
      <x:c r="D33" s="24"/>
      <x:c r="E33" s="24"/>
      <x:c r="F33" s="22" t="n">
        <x:v>1</x:v>
      </x:c>
      <x:c r="G33" s="24"/>
      <x:c r="H33" s="24"/>
      <x:c r="I33" s="24" t="str">
        <x:f>IF(C33="","","Available")</x:f>
      </x:c>
      <x:c r="J33" s="24"/>
      <x:c r="K33" s="24"/>
      <x:c r="L33" s="24" t="str">
        <x:f>IF(C33="","","Available")</x:f>
      </x:c>
      <x:c r="M33" s="24"/>
      <x:c r="N33" s="19" t="str">
        <x:f>IF(C33="","",IF(AND(L33&lt;&gt;"",L33&lt;&gt;"Available"),L33,I33))</x:f>
      </x:c>
    </x:row>
    <x:row r="34" ht="29.25" customHeight="1">
      <x:c r="A34" s="18"/>
      <x:c r="B34" s="19"/>
      <x:c r="C34" s="19"/>
      <x:c r="D34" s="19"/>
      <x:c r="E34" s="19"/>
      <x:c r="F34" s="22" t="n">
        <x:v>2</x:v>
      </x:c>
      <x:c r="G34" s="24"/>
      <x:c r="H34" s="19"/>
      <x:c r="I34" s="19"/>
      <x:c r="J34" s="19"/>
      <x:c r="K34" s="19"/>
      <x:c r="L34" s="19"/>
      <x:c r="M34" s="19"/>
      <x:c r="N34" s="19"/>
    </x:row>
    <x:row r="35" ht="29.25" customHeight="1">
      <x:c r="A35" s="20"/>
      <x:c r="B35" s="21"/>
      <x:c r="C35" s="21"/>
      <x:c r="D35" s="21"/>
      <x:c r="E35" s="21"/>
      <x:c r="F35" s="23" t="n">
        <x:v>3</x:v>
      </x:c>
      <x:c r="G35" s="25"/>
      <x:c r="H35" s="21"/>
      <x:c r="I35" s="21"/>
      <x:c r="J35" s="21"/>
      <x:c r="K35" s="21"/>
      <x:c r="L35" s="21"/>
      <x:c r="M35" s="21"/>
      <x:c r="N35" s="21"/>
    </x:row>
    <x:row r="36" ht="29.25" customHeight="1">
      <x:c r="A36" s="26" t="str">
        <x:f>IF(C36="","",$D$5)</x:f>
      </x:c>
      <x:c r="B36" s="24"/>
      <x:c r="C36" s="24"/>
      <x:c r="D36" s="24"/>
      <x:c r="E36" s="24"/>
      <x:c r="F36" s="30" t="n">
        <x:v>1</x:v>
      </x:c>
      <x:c r="G36" s="24"/>
      <x:c r="H36" s="24"/>
      <x:c r="I36" s="24" t="str">
        <x:f>IF(C36="","","Available")</x:f>
      </x:c>
      <x:c r="J36" s="24"/>
      <x:c r="K36" s="24"/>
      <x:c r="L36" s="24" t="str">
        <x:f>IF(C36="","","Available")</x:f>
      </x:c>
      <x:c r="M36" s="24"/>
      <x:c r="N36" s="27" t="str">
        <x:f>IF(C36="","",IF(AND(L36&lt;&gt;"",L36&lt;&gt;"Available"),L36,I36))</x:f>
      </x:c>
    </x:row>
    <x:row r="37" ht="29.25" customHeight="1">
      <x:c r="A37" s="26"/>
      <x:c r="B37" s="27"/>
      <x:c r="C37" s="27"/>
      <x:c r="D37" s="27"/>
      <x:c r="E37" s="27"/>
      <x:c r="F37" s="30" t="n">
        <x:v>2</x:v>
      </x:c>
      <x:c r="G37" s="24"/>
      <x:c r="H37" s="27"/>
      <x:c r="I37" s="27"/>
      <x:c r="J37" s="27"/>
      <x:c r="K37" s="27"/>
      <x:c r="L37" s="27"/>
      <x:c r="M37" s="27"/>
      <x:c r="N37" s="27"/>
    </x:row>
    <x:row r="38" ht="29.25" customHeight="1">
      <x:c r="A38" s="28"/>
      <x:c r="B38" s="29"/>
      <x:c r="C38" s="29"/>
      <x:c r="D38" s="29"/>
      <x:c r="E38" s="29"/>
      <x:c r="F38" s="31" t="n">
        <x:v>3</x:v>
      </x:c>
      <x:c r="G38" s="25"/>
      <x:c r="H38" s="29"/>
      <x:c r="I38" s="29"/>
      <x:c r="J38" s="29"/>
      <x:c r="K38" s="29"/>
      <x:c r="L38" s="29"/>
      <x:c r="M38" s="29"/>
      <x:c r="N38" s="29"/>
    </x:row>
    <x:row r="39" ht="29.25" customHeight="1">
      <x:c r="A39" s="18" t="str">
        <x:f>IF(C39="","",$D$5)</x:f>
      </x:c>
      <x:c r="B39" s="24"/>
      <x:c r="C39" s="24"/>
      <x:c r="D39" s="24"/>
      <x:c r="E39" s="24"/>
      <x:c r="F39" s="22" t="n">
        <x:v>1</x:v>
      </x:c>
      <x:c r="G39" s="24"/>
      <x:c r="H39" s="24"/>
      <x:c r="I39" s="24" t="str">
        <x:f>IF(C39="","","Available")</x:f>
      </x:c>
      <x:c r="J39" s="24"/>
      <x:c r="K39" s="24"/>
      <x:c r="L39" s="24" t="str">
        <x:f>IF(C39="","","Available")</x:f>
      </x:c>
      <x:c r="M39" s="24"/>
      <x:c r="N39" s="19" t="str">
        <x:f>IF(C39="","",IF(AND(L39&lt;&gt;"",L39&lt;&gt;"Available"),L39,I39))</x:f>
      </x:c>
    </x:row>
    <x:row r="40" ht="29.25" customHeight="1">
      <x:c r="A40" s="18"/>
      <x:c r="B40" s="19"/>
      <x:c r="C40" s="19"/>
      <x:c r="D40" s="19"/>
      <x:c r="E40" s="19"/>
      <x:c r="F40" s="22" t="n">
        <x:v>2</x:v>
      </x:c>
      <x:c r="G40" s="24"/>
      <x:c r="H40" s="19"/>
      <x:c r="I40" s="19"/>
      <x:c r="J40" s="19"/>
      <x:c r="K40" s="19"/>
      <x:c r="L40" s="19"/>
      <x:c r="M40" s="19"/>
      <x:c r="N40" s="19"/>
    </x:row>
    <x:row r="41" ht="29.25" customHeight="1">
      <x:c r="A41" s="20"/>
      <x:c r="B41" s="21"/>
      <x:c r="C41" s="21"/>
      <x:c r="D41" s="21"/>
      <x:c r="E41" s="21"/>
      <x:c r="F41" s="23" t="n">
        <x:v>3</x:v>
      </x:c>
      <x:c r="G41" s="25"/>
      <x:c r="H41" s="21"/>
      <x:c r="I41" s="21"/>
      <x:c r="J41" s="21"/>
      <x:c r="K41" s="21"/>
      <x:c r="L41" s="21"/>
      <x:c r="M41" s="21"/>
      <x:c r="N41" s="21"/>
    </x:row>
    <x:row r="42" ht="29.25" customHeight="1">
      <x:c r="A42" s="26" t="str">
        <x:f>IF(C42="","",$D$5)</x:f>
      </x:c>
      <x:c r="B42" s="24"/>
      <x:c r="C42" s="24"/>
      <x:c r="D42" s="24"/>
      <x:c r="E42" s="24"/>
      <x:c r="F42" s="30" t="n">
        <x:v>1</x:v>
      </x:c>
      <x:c r="G42" s="24"/>
      <x:c r="H42" s="24"/>
      <x:c r="I42" s="24" t="str">
        <x:f>IF(C42="","","Available")</x:f>
      </x:c>
      <x:c r="J42" s="24"/>
      <x:c r="K42" s="24"/>
      <x:c r="L42" s="24" t="str">
        <x:f>IF(C42="","","Available")</x:f>
      </x:c>
      <x:c r="M42" s="24"/>
      <x:c r="N42" s="27" t="str">
        <x:f>IF(C42="","",IF(AND(L42&lt;&gt;"",L42&lt;&gt;"Available"),L42,I42))</x:f>
      </x:c>
    </x:row>
    <x:row r="43" ht="29.25" customHeight="1">
      <x:c r="A43" s="26"/>
      <x:c r="B43" s="27"/>
      <x:c r="C43" s="27"/>
      <x:c r="D43" s="27"/>
      <x:c r="E43" s="27"/>
      <x:c r="F43" s="30" t="n">
        <x:v>2</x:v>
      </x:c>
      <x:c r="G43" s="24"/>
      <x:c r="H43" s="27"/>
      <x:c r="I43" s="27"/>
      <x:c r="J43" s="27"/>
      <x:c r="K43" s="27"/>
      <x:c r="L43" s="27"/>
      <x:c r="M43" s="27"/>
      <x:c r="N43" s="27"/>
    </x:row>
    <x:row r="44" ht="29.25" customHeight="1">
      <x:c r="A44" s="28"/>
      <x:c r="B44" s="29"/>
      <x:c r="C44" s="29"/>
      <x:c r="D44" s="29"/>
      <x:c r="E44" s="29"/>
      <x:c r="F44" s="31" t="n">
        <x:v>3</x:v>
      </x:c>
      <x:c r="G44" s="25"/>
      <x:c r="H44" s="29"/>
      <x:c r="I44" s="29"/>
      <x:c r="J44" s="29"/>
      <x:c r="K44" s="29"/>
      <x:c r="L44" s="29"/>
      <x:c r="M44" s="29"/>
      <x:c r="N44" s="29"/>
    </x:row>
    <x:row r="45" ht="29.25" customHeight="1">
      <x:c r="A45" s="18" t="str">
        <x:f>IF(C45="","",$D$5)</x:f>
      </x:c>
      <x:c r="B45" s="24"/>
      <x:c r="C45" s="24"/>
      <x:c r="D45" s="24"/>
      <x:c r="E45" s="24"/>
      <x:c r="F45" s="22" t="n">
        <x:v>1</x:v>
      </x:c>
      <x:c r="G45" s="24"/>
      <x:c r="H45" s="24"/>
      <x:c r="I45" s="24" t="str">
        <x:f>IF(C45="","","Available")</x:f>
      </x:c>
      <x:c r="J45" s="24"/>
      <x:c r="K45" s="24"/>
      <x:c r="L45" s="24" t="str">
        <x:f>IF(C45="","","Available")</x:f>
      </x:c>
      <x:c r="M45" s="24"/>
      <x:c r="N45" s="19" t="str">
        <x:f>IF(C45="","",IF(AND(L45&lt;&gt;"",L45&lt;&gt;"Available"),L45,I45))</x:f>
      </x:c>
    </x:row>
    <x:row r="46" ht="29.25" customHeight="1">
      <x:c r="A46" s="18"/>
      <x:c r="B46" s="19"/>
      <x:c r="C46" s="19"/>
      <x:c r="D46" s="19"/>
      <x:c r="E46" s="19"/>
      <x:c r="F46" s="22" t="n">
        <x:v>2</x:v>
      </x:c>
      <x:c r="G46" s="24"/>
      <x:c r="H46" s="19"/>
      <x:c r="I46" s="19"/>
      <x:c r="J46" s="19"/>
      <x:c r="K46" s="19"/>
      <x:c r="L46" s="19"/>
      <x:c r="M46" s="19"/>
      <x:c r="N46" s="19"/>
    </x:row>
    <x:row r="47" ht="29.25" customHeight="1">
      <x:c r="A47" s="20"/>
      <x:c r="B47" s="21"/>
      <x:c r="C47" s="21"/>
      <x:c r="D47" s="21"/>
      <x:c r="E47" s="21"/>
      <x:c r="F47" s="23" t="n">
        <x:v>3</x:v>
      </x:c>
      <x:c r="G47" s="25"/>
      <x:c r="H47" s="21"/>
      <x:c r="I47" s="21"/>
      <x:c r="J47" s="21"/>
      <x:c r="K47" s="21"/>
      <x:c r="L47" s="21"/>
      <x:c r="M47" s="21"/>
      <x:c r="N47" s="21"/>
    </x:row>
    <x:row r="48" ht="29.25" customHeight="1">
      <x:c r="A48" s="26" t="str">
        <x:f>IF(C48="","",$D$5)</x:f>
      </x:c>
      <x:c r="B48" s="24"/>
      <x:c r="C48" s="24"/>
      <x:c r="D48" s="24"/>
      <x:c r="E48" s="24"/>
      <x:c r="F48" s="30" t="n">
        <x:v>1</x:v>
      </x:c>
      <x:c r="G48" s="24"/>
      <x:c r="H48" s="24"/>
      <x:c r="I48" s="24" t="str">
        <x:f>IF(C48="","","Available")</x:f>
      </x:c>
      <x:c r="J48" s="24"/>
      <x:c r="K48" s="24"/>
      <x:c r="L48" s="24" t="str">
        <x:f>IF(C48="","","Available")</x:f>
      </x:c>
      <x:c r="M48" s="24"/>
      <x:c r="N48" s="27" t="str">
        <x:f>IF(C48="","",IF(AND(L48&lt;&gt;"",L48&lt;&gt;"Available"),L48,I48))</x:f>
      </x:c>
    </x:row>
    <x:row r="49" ht="29.25" customHeight="1">
      <x:c r="A49" s="26"/>
      <x:c r="B49" s="27"/>
      <x:c r="C49" s="27"/>
      <x:c r="D49" s="27"/>
      <x:c r="E49" s="27"/>
      <x:c r="F49" s="30" t="n">
        <x:v>2</x:v>
      </x:c>
      <x:c r="G49" s="24"/>
      <x:c r="H49" s="27"/>
      <x:c r="I49" s="27"/>
      <x:c r="J49" s="27"/>
      <x:c r="K49" s="27"/>
      <x:c r="L49" s="27"/>
      <x:c r="M49" s="27"/>
      <x:c r="N49" s="27"/>
    </x:row>
    <x:row r="50" ht="29.25" customHeight="1">
      <x:c r="A50" s="28"/>
      <x:c r="B50" s="29"/>
      <x:c r="C50" s="29"/>
      <x:c r="D50" s="29"/>
      <x:c r="E50" s="29"/>
      <x:c r="F50" s="31" t="n">
        <x:v>3</x:v>
      </x:c>
      <x:c r="G50" s="25"/>
      <x:c r="H50" s="29"/>
      <x:c r="I50" s="29"/>
      <x:c r="J50" s="29"/>
      <x:c r="K50" s="29"/>
      <x:c r="L50" s="29"/>
      <x:c r="M50" s="29"/>
      <x:c r="N50" s="29"/>
    </x:row>
    <x:row r="51" ht="29.25" customHeight="1">
      <x:c r="A51" s="18" t="str">
        <x:f>IF(C51="","",$D$5)</x:f>
      </x:c>
      <x:c r="B51" s="24"/>
      <x:c r="C51" s="24"/>
      <x:c r="D51" s="24"/>
      <x:c r="E51" s="24"/>
      <x:c r="F51" s="22" t="n">
        <x:v>1</x:v>
      </x:c>
      <x:c r="G51" s="24"/>
      <x:c r="H51" s="24"/>
      <x:c r="I51" s="24" t="str">
        <x:f>IF(C51="","","Available")</x:f>
      </x:c>
      <x:c r="J51" s="24"/>
      <x:c r="K51" s="24"/>
      <x:c r="L51" s="24" t="str">
        <x:f>IF(C51="","","Available")</x:f>
      </x:c>
      <x:c r="M51" s="24"/>
      <x:c r="N51" s="19" t="str">
        <x:f>IF(C51="","",IF(AND(L51&lt;&gt;"",L51&lt;&gt;"Available"),L51,I51))</x:f>
      </x:c>
    </x:row>
    <x:row r="52" ht="29.25" customHeight="1">
      <x:c r="A52" s="18"/>
      <x:c r="B52" s="19"/>
      <x:c r="C52" s="19"/>
      <x:c r="D52" s="19"/>
      <x:c r="E52" s="19"/>
      <x:c r="F52" s="22" t="n">
        <x:v>2</x:v>
      </x:c>
      <x:c r="G52" s="24"/>
      <x:c r="H52" s="19"/>
      <x:c r="I52" s="19"/>
      <x:c r="J52" s="19"/>
      <x:c r="K52" s="19"/>
      <x:c r="L52" s="19"/>
      <x:c r="M52" s="19"/>
      <x:c r="N52" s="19"/>
    </x:row>
    <x:row r="53" ht="29.25" customHeight="1">
      <x:c r="A53" s="20"/>
      <x:c r="B53" s="21"/>
      <x:c r="C53" s="21"/>
      <x:c r="D53" s="21"/>
      <x:c r="E53" s="21"/>
      <x:c r="F53" s="23" t="n">
        <x:v>3</x:v>
      </x:c>
      <x:c r="G53" s="25"/>
      <x:c r="H53" s="21"/>
      <x:c r="I53" s="21"/>
      <x:c r="J53" s="21"/>
      <x:c r="K53" s="21"/>
      <x:c r="L53" s="21"/>
      <x:c r="M53" s="21"/>
      <x:c r="N53" s="21"/>
    </x:row>
    <x:row r="54" ht="29.25" customHeight="1">
      <x:c r="A54" s="26" t="str">
        <x:f>IF(C54="","",$D$5)</x:f>
      </x:c>
      <x:c r="B54" s="24"/>
      <x:c r="C54" s="24"/>
      <x:c r="D54" s="24"/>
      <x:c r="E54" s="24"/>
      <x:c r="F54" s="30" t="n">
        <x:v>1</x:v>
      </x:c>
      <x:c r="G54" s="24"/>
      <x:c r="H54" s="24"/>
      <x:c r="I54" s="24" t="str">
        <x:f>IF(C54="","","Available")</x:f>
      </x:c>
      <x:c r="J54" s="24"/>
      <x:c r="K54" s="24"/>
      <x:c r="L54" s="24" t="str">
        <x:f>IF(C54="","","Available")</x:f>
      </x:c>
      <x:c r="M54" s="24"/>
      <x:c r="N54" s="27" t="str">
        <x:f>IF(C54="","",IF(AND(L54&lt;&gt;"",L54&lt;&gt;"Available"),L54,I54))</x:f>
      </x:c>
    </x:row>
    <x:row r="55" ht="29.25" customHeight="1">
      <x:c r="A55" s="26"/>
      <x:c r="B55" s="27"/>
      <x:c r="C55" s="27"/>
      <x:c r="D55" s="27"/>
      <x:c r="E55" s="27"/>
      <x:c r="F55" s="30" t="n">
        <x:v>2</x:v>
      </x:c>
      <x:c r="G55" s="24"/>
      <x:c r="H55" s="27"/>
      <x:c r="I55" s="27"/>
      <x:c r="J55" s="27"/>
      <x:c r="K55" s="27"/>
      <x:c r="L55" s="27"/>
      <x:c r="M55" s="27"/>
      <x:c r="N55" s="27"/>
    </x:row>
    <x:row r="56" ht="29.25" customHeight="1">
      <x:c r="A56" s="28"/>
      <x:c r="B56" s="29"/>
      <x:c r="C56" s="29"/>
      <x:c r="D56" s="29"/>
      <x:c r="E56" s="29"/>
      <x:c r="F56" s="31" t="n">
        <x:v>3</x:v>
      </x:c>
      <x:c r="G56" s="25"/>
      <x:c r="H56" s="29"/>
      <x:c r="I56" s="29"/>
      <x:c r="J56" s="29"/>
      <x:c r="K56" s="29"/>
      <x:c r="L56" s="29"/>
      <x:c r="M56" s="29"/>
      <x:c r="N56" s="29"/>
    </x:row>
    <x:row r="57" ht="29.25" customHeight="1">
      <x:c r="A57" s="18" t="str">
        <x:f>IF(C57="","",$D$5)</x:f>
      </x:c>
      <x:c r="B57" s="24"/>
      <x:c r="C57" s="24"/>
      <x:c r="D57" s="24"/>
      <x:c r="E57" s="24"/>
      <x:c r="F57" s="22" t="n">
        <x:v>1</x:v>
      </x:c>
      <x:c r="G57" s="24"/>
      <x:c r="H57" s="24"/>
      <x:c r="I57" s="24" t="str">
        <x:f>IF(C57="","","Available")</x:f>
      </x:c>
      <x:c r="J57" s="24"/>
      <x:c r="K57" s="24"/>
      <x:c r="L57" s="24" t="str">
        <x:f>IF(C57="","","Available")</x:f>
      </x:c>
      <x:c r="M57" s="24"/>
      <x:c r="N57" s="19" t="str">
        <x:f>IF(C57="","",IF(AND(L57&lt;&gt;"",L57&lt;&gt;"Available"),L57,I57))</x:f>
      </x:c>
    </x:row>
    <x:row r="58" ht="29.25" customHeight="1">
      <x:c r="A58" s="18"/>
      <x:c r="B58" s="19"/>
      <x:c r="C58" s="19"/>
      <x:c r="D58" s="19"/>
      <x:c r="E58" s="19"/>
      <x:c r="F58" s="22" t="n">
        <x:v>2</x:v>
      </x:c>
      <x:c r="G58" s="24"/>
      <x:c r="H58" s="19"/>
      <x:c r="I58" s="19"/>
      <x:c r="J58" s="19"/>
      <x:c r="K58" s="19"/>
      <x:c r="L58" s="19"/>
      <x:c r="M58" s="19"/>
      <x:c r="N58" s="19"/>
    </x:row>
    <x:row r="59" ht="29.25" customHeight="1">
      <x:c r="A59" s="20"/>
      <x:c r="B59" s="21"/>
      <x:c r="C59" s="21"/>
      <x:c r="D59" s="21"/>
      <x:c r="E59" s="21"/>
      <x:c r="F59" s="23" t="n">
        <x:v>3</x:v>
      </x:c>
      <x:c r="G59" s="25"/>
      <x:c r="H59" s="21"/>
      <x:c r="I59" s="21"/>
      <x:c r="J59" s="21"/>
      <x:c r="K59" s="21"/>
      <x:c r="L59" s="21"/>
      <x:c r="M59" s="21"/>
      <x:c r="N59" s="21"/>
    </x:row>
    <x:row r="60" ht="29.25" customHeight="1">
      <x:c r="A60" s="26" t="str">
        <x:f>IF(C60="","",$D$5)</x:f>
      </x:c>
      <x:c r="B60" s="24"/>
      <x:c r="C60" s="24"/>
      <x:c r="D60" s="24"/>
      <x:c r="E60" s="24"/>
      <x:c r="F60" s="30" t="n">
        <x:v>1</x:v>
      </x:c>
      <x:c r="G60" s="24"/>
      <x:c r="H60" s="24"/>
      <x:c r="I60" s="24" t="str">
        <x:f>IF(C60="","","Available")</x:f>
      </x:c>
      <x:c r="J60" s="24"/>
      <x:c r="K60" s="24"/>
      <x:c r="L60" s="24" t="str">
        <x:f>IF(C60="","","Available")</x:f>
      </x:c>
      <x:c r="M60" s="24"/>
      <x:c r="N60" s="27" t="str">
        <x:f>IF(C60="","",IF(AND(L60&lt;&gt;"",L60&lt;&gt;"Available"),L60,I60))</x:f>
      </x:c>
    </x:row>
    <x:row r="61" ht="29.25" customHeight="1">
      <x:c r="A61" s="26"/>
      <x:c r="B61" s="27"/>
      <x:c r="C61" s="27"/>
      <x:c r="D61" s="27"/>
      <x:c r="E61" s="27"/>
      <x:c r="F61" s="30" t="n">
        <x:v>2</x:v>
      </x:c>
      <x:c r="G61" s="24"/>
      <x:c r="H61" s="27"/>
      <x:c r="I61" s="27"/>
      <x:c r="J61" s="27"/>
      <x:c r="K61" s="27"/>
      <x:c r="L61" s="27"/>
      <x:c r="M61" s="27"/>
      <x:c r="N61" s="27"/>
    </x:row>
    <x:row r="62" ht="29.25" customHeight="1">
      <x:c r="A62" s="28"/>
      <x:c r="B62" s="29"/>
      <x:c r="C62" s="29"/>
      <x:c r="D62" s="29"/>
      <x:c r="E62" s="29"/>
      <x:c r="F62" s="31" t="n">
        <x:v>3</x:v>
      </x:c>
      <x:c r="G62" s="25"/>
      <x:c r="H62" s="29"/>
      <x:c r="I62" s="29"/>
      <x:c r="J62" s="29"/>
      <x:c r="K62" s="29"/>
      <x:c r="L62" s="29"/>
      <x:c r="M62" s="29"/>
      <x:c r="N62" s="29"/>
    </x:row>
    <x:row r="63" ht="29.25" customHeight="1">
      <x:c r="A63" s="18" t="str">
        <x:f>IF(C63="","",$D$5)</x:f>
      </x:c>
      <x:c r="B63" s="24"/>
      <x:c r="C63" s="24"/>
      <x:c r="D63" s="24"/>
      <x:c r="E63" s="24"/>
      <x:c r="F63" s="22" t="n">
        <x:v>1</x:v>
      </x:c>
      <x:c r="G63" s="24"/>
      <x:c r="H63" s="24"/>
      <x:c r="I63" s="24" t="str">
        <x:f>IF(C63="","","Available")</x:f>
      </x:c>
      <x:c r="J63" s="24"/>
      <x:c r="K63" s="24"/>
      <x:c r="L63" s="24" t="str">
        <x:f>IF(C63="","","Available")</x:f>
      </x:c>
      <x:c r="M63" s="24"/>
      <x:c r="N63" s="19" t="str">
        <x:f>IF(C63="","",IF(AND(L63&lt;&gt;"",L63&lt;&gt;"Available"),L63,I63))</x:f>
      </x:c>
    </x:row>
    <x:row r="64" ht="29.25" customHeight="1">
      <x:c r="A64" s="18"/>
      <x:c r="B64" s="19"/>
      <x:c r="C64" s="19"/>
      <x:c r="D64" s="19"/>
      <x:c r="E64" s="19"/>
      <x:c r="F64" s="22" t="n">
        <x:v>2</x:v>
      </x:c>
      <x:c r="G64" s="24"/>
      <x:c r="H64" s="19"/>
      <x:c r="I64" s="19"/>
      <x:c r="J64" s="19"/>
      <x:c r="K64" s="19"/>
      <x:c r="L64" s="19"/>
      <x:c r="M64" s="19"/>
      <x:c r="N64" s="19"/>
    </x:row>
    <x:row r="65" ht="29.25" customHeight="1">
      <x:c r="A65" s="20"/>
      <x:c r="B65" s="21"/>
      <x:c r="C65" s="21"/>
      <x:c r="D65" s="21"/>
      <x:c r="E65" s="21"/>
      <x:c r="F65" s="23" t="n">
        <x:v>3</x:v>
      </x:c>
      <x:c r="G65" s="25"/>
      <x:c r="H65" s="21"/>
      <x:c r="I65" s="21"/>
      <x:c r="J65" s="21"/>
      <x:c r="K65" s="21"/>
      <x:c r="L65" s="21"/>
      <x:c r="M65" s="21"/>
      <x:c r="N65" s="21"/>
    </x:row>
    <x:row r="66" ht="29.25" customHeight="1">
      <x:c r="A66" s="26" t="str">
        <x:f>IF(C66="","",$D$5)</x:f>
      </x:c>
      <x:c r="B66" s="24"/>
      <x:c r="C66" s="24"/>
      <x:c r="D66" s="24"/>
      <x:c r="E66" s="24"/>
      <x:c r="F66" s="30" t="n">
        <x:v>1</x:v>
      </x:c>
      <x:c r="G66" s="24"/>
      <x:c r="H66" s="24"/>
      <x:c r="I66" s="24" t="str">
        <x:f>IF(C66="","","Available")</x:f>
      </x:c>
      <x:c r="J66" s="24"/>
      <x:c r="K66" s="24"/>
      <x:c r="L66" s="24" t="str">
        <x:f>IF(C66="","","Available")</x:f>
      </x:c>
      <x:c r="M66" s="24"/>
      <x:c r="N66" s="27" t="str">
        <x:f>IF(C66="","",IF(AND(L66&lt;&gt;"",L66&lt;&gt;"Available"),L66,I66))</x:f>
      </x:c>
    </x:row>
    <x:row r="67" ht="29.25" customHeight="1">
      <x:c r="A67" s="26"/>
      <x:c r="B67" s="27"/>
      <x:c r="C67" s="27"/>
      <x:c r="D67" s="27"/>
      <x:c r="E67" s="27"/>
      <x:c r="F67" s="30" t="n">
        <x:v>2</x:v>
      </x:c>
      <x:c r="G67" s="24"/>
      <x:c r="H67" s="27"/>
      <x:c r="I67" s="27"/>
      <x:c r="J67" s="27"/>
      <x:c r="K67" s="27"/>
      <x:c r="L67" s="27"/>
      <x:c r="M67" s="27"/>
      <x:c r="N67" s="27"/>
    </x:row>
    <x:row r="68" ht="29.25" customHeight="1">
      <x:c r="A68" s="28"/>
      <x:c r="B68" s="29"/>
      <x:c r="C68" s="29"/>
      <x:c r="D68" s="29"/>
      <x:c r="E68" s="29"/>
      <x:c r="F68" s="31" t="n">
        <x:v>3</x:v>
      </x:c>
      <x:c r="G68" s="25"/>
      <x:c r="H68" s="29"/>
      <x:c r="I68" s="29"/>
      <x:c r="J68" s="29"/>
      <x:c r="K68" s="29"/>
      <x:c r="L68" s="29"/>
      <x:c r="M68" s="29"/>
      <x:c r="N68" s="29"/>
    </x:row>
    <x:row r="69" ht="29.25" customHeight="1">
      <x:c r="A69" s="18" t="str">
        <x:f>IF(C69="","",$D$5)</x:f>
      </x:c>
      <x:c r="B69" s="24"/>
      <x:c r="C69" s="24"/>
      <x:c r="D69" s="24"/>
      <x:c r="E69" s="24"/>
      <x:c r="F69" s="22" t="n">
        <x:v>1</x:v>
      </x:c>
      <x:c r="G69" s="24"/>
      <x:c r="H69" s="24"/>
      <x:c r="I69" s="24" t="str">
        <x:f>IF(C69="","","Available")</x:f>
      </x:c>
      <x:c r="J69" s="24"/>
      <x:c r="K69" s="24"/>
      <x:c r="L69" s="24" t="str">
        <x:f>IF(C69="","","Available")</x:f>
      </x:c>
      <x:c r="M69" s="24"/>
      <x:c r="N69" s="19" t="str">
        <x:f>IF(C69="","",IF(AND(L69&lt;&gt;"",L69&lt;&gt;"Available"),L69,I69))</x:f>
      </x:c>
    </x:row>
    <x:row r="70" ht="29.25" customHeight="1">
      <x:c r="A70" s="18"/>
      <x:c r="B70" s="19"/>
      <x:c r="C70" s="19"/>
      <x:c r="D70" s="19"/>
      <x:c r="E70" s="19"/>
      <x:c r="F70" s="22" t="n">
        <x:v>2</x:v>
      </x:c>
      <x:c r="G70" s="24"/>
      <x:c r="H70" s="19"/>
      <x:c r="I70" s="19"/>
      <x:c r="J70" s="19"/>
      <x:c r="K70" s="19"/>
      <x:c r="L70" s="19"/>
      <x:c r="M70" s="19"/>
      <x:c r="N70" s="19"/>
    </x:row>
    <x:row r="71" ht="29.25" customHeight="1">
      <x:c r="A71" s="20"/>
      <x:c r="B71" s="21"/>
      <x:c r="C71" s="21"/>
      <x:c r="D71" s="21"/>
      <x:c r="E71" s="21"/>
      <x:c r="F71" s="23" t="n">
        <x:v>3</x:v>
      </x:c>
      <x:c r="G71" s="25"/>
      <x:c r="H71" s="21"/>
      <x:c r="I71" s="21"/>
      <x:c r="J71" s="21"/>
      <x:c r="K71" s="21"/>
      <x:c r="L71" s="21"/>
      <x:c r="M71" s="21"/>
      <x:c r="N71" s="21"/>
    </x:row>
    <x:row r="72" ht="29.25" customHeight="1">
      <x:c r="A72" s="26" t="str">
        <x:f>IF(C72="","",$D$5)</x:f>
      </x:c>
      <x:c r="B72" s="24"/>
      <x:c r="C72" s="24"/>
      <x:c r="D72" s="24"/>
      <x:c r="E72" s="24"/>
      <x:c r="F72" s="30" t="n">
        <x:v>1</x:v>
      </x:c>
      <x:c r="G72" s="24"/>
      <x:c r="H72" s="24"/>
      <x:c r="I72" s="24" t="str">
        <x:f>IF(C72="","","Available")</x:f>
      </x:c>
      <x:c r="J72" s="24"/>
      <x:c r="K72" s="24"/>
      <x:c r="L72" s="24" t="str">
        <x:f>IF(C72="","","Available")</x:f>
      </x:c>
      <x:c r="M72" s="24"/>
      <x:c r="N72" s="27" t="str">
        <x:f>IF(C72="","",IF(AND(L72&lt;&gt;"",L72&lt;&gt;"Available"),L72,I72))</x:f>
      </x:c>
    </x:row>
    <x:row r="73" ht="29.25" customHeight="1">
      <x:c r="A73" s="26"/>
      <x:c r="B73" s="27"/>
      <x:c r="C73" s="27"/>
      <x:c r="D73" s="27"/>
      <x:c r="E73" s="27"/>
      <x:c r="F73" s="30" t="n">
        <x:v>2</x:v>
      </x:c>
      <x:c r="G73" s="24"/>
      <x:c r="H73" s="27"/>
      <x:c r="I73" s="27"/>
      <x:c r="J73" s="27"/>
      <x:c r="K73" s="27"/>
      <x:c r="L73" s="27"/>
      <x:c r="M73" s="27"/>
      <x:c r="N73" s="27"/>
    </x:row>
    <x:row r="74" ht="29.25" customHeight="1">
      <x:c r="A74" s="28"/>
      <x:c r="B74" s="29"/>
      <x:c r="C74" s="29"/>
      <x:c r="D74" s="29"/>
      <x:c r="E74" s="29"/>
      <x:c r="F74" s="31" t="n">
        <x:v>3</x:v>
      </x:c>
      <x:c r="G74" s="25"/>
      <x:c r="H74" s="29"/>
      <x:c r="I74" s="29"/>
      <x:c r="J74" s="29"/>
      <x:c r="K74" s="29"/>
      <x:c r="L74" s="29"/>
      <x:c r="M74" s="29"/>
      <x:c r="N74" s="29"/>
    </x:row>
    <x:row r="75" ht="29.25" customHeight="1">
      <x:c r="A75" s="18" t="str">
        <x:f>IF(C75="","",$D$5)</x:f>
      </x:c>
      <x:c r="B75" s="24"/>
      <x:c r="C75" s="24"/>
      <x:c r="D75" s="24"/>
      <x:c r="E75" s="24"/>
      <x:c r="F75" s="22" t="n">
        <x:v>1</x:v>
      </x:c>
      <x:c r="G75" s="24"/>
      <x:c r="H75" s="24"/>
      <x:c r="I75" s="24" t="str">
        <x:f>IF(C75="","","Available")</x:f>
      </x:c>
      <x:c r="J75" s="24"/>
      <x:c r="K75" s="24"/>
      <x:c r="L75" s="24" t="str">
        <x:f>IF(C75="","","Available")</x:f>
      </x:c>
      <x:c r="M75" s="24"/>
      <x:c r="N75" s="19" t="str">
        <x:f>IF(C75="","",IF(AND(L75&lt;&gt;"",L75&lt;&gt;"Available"),L75,I75))</x:f>
      </x:c>
    </x:row>
    <x:row r="76" ht="29.25" customHeight="1">
      <x:c r="A76" s="18"/>
      <x:c r="B76" s="19"/>
      <x:c r="C76" s="19"/>
      <x:c r="D76" s="19"/>
      <x:c r="E76" s="19"/>
      <x:c r="F76" s="22" t="n">
        <x:v>2</x:v>
      </x:c>
      <x:c r="G76" s="24"/>
      <x:c r="H76" s="19"/>
      <x:c r="I76" s="19"/>
      <x:c r="J76" s="19"/>
      <x:c r="K76" s="19"/>
      <x:c r="L76" s="19"/>
      <x:c r="M76" s="19"/>
      <x:c r="N76" s="19"/>
    </x:row>
    <x:row r="77" ht="29.25" customHeight="1">
      <x:c r="A77" s="20"/>
      <x:c r="B77" s="21"/>
      <x:c r="C77" s="21"/>
      <x:c r="D77" s="21"/>
      <x:c r="E77" s="21"/>
      <x:c r="F77" s="23" t="n">
        <x:v>3</x:v>
      </x:c>
      <x:c r="G77" s="25"/>
      <x:c r="H77" s="21"/>
      <x:c r="I77" s="21"/>
      <x:c r="J77" s="21"/>
      <x:c r="K77" s="21"/>
      <x:c r="L77" s="21"/>
      <x:c r="M77" s="21"/>
      <x:c r="N77" s="21"/>
    </x:row>
    <x:row r="78" ht="29.25" customHeight="1">
      <x:c r="A78" s="26" t="str">
        <x:f>IF(C78="","",$D$5)</x:f>
      </x:c>
      <x:c r="B78" s="24"/>
      <x:c r="C78" s="24"/>
      <x:c r="D78" s="24"/>
      <x:c r="E78" s="24"/>
      <x:c r="F78" s="30" t="n">
        <x:v>1</x:v>
      </x:c>
      <x:c r="G78" s="24"/>
      <x:c r="H78" s="24"/>
      <x:c r="I78" s="24" t="str">
        <x:f>IF(C78="","","Available")</x:f>
      </x:c>
      <x:c r="J78" s="24"/>
      <x:c r="K78" s="24"/>
      <x:c r="L78" s="24" t="str">
        <x:f>IF(C78="","","Available")</x:f>
      </x:c>
      <x:c r="M78" s="24"/>
      <x:c r="N78" s="27" t="str">
        <x:f>IF(C78="","",IF(AND(L78&lt;&gt;"",L78&lt;&gt;"Available"),L78,I78))</x:f>
      </x:c>
    </x:row>
    <x:row r="79" ht="29.25" customHeight="1">
      <x:c r="A79" s="26"/>
      <x:c r="B79" s="27"/>
      <x:c r="C79" s="27"/>
      <x:c r="D79" s="27"/>
      <x:c r="E79" s="27"/>
      <x:c r="F79" s="30" t="n">
        <x:v>2</x:v>
      </x:c>
      <x:c r="G79" s="24"/>
      <x:c r="H79" s="27"/>
      <x:c r="I79" s="27"/>
      <x:c r="J79" s="27"/>
      <x:c r="K79" s="27"/>
      <x:c r="L79" s="27"/>
      <x:c r="M79" s="27"/>
      <x:c r="N79" s="27"/>
    </x:row>
    <x:row r="80" ht="29.25" customHeight="1">
      <x:c r="A80" s="28"/>
      <x:c r="B80" s="29"/>
      <x:c r="C80" s="29"/>
      <x:c r="D80" s="29"/>
      <x:c r="E80" s="29"/>
      <x:c r="F80" s="31" t="n">
        <x:v>3</x:v>
      </x:c>
      <x:c r="G80" s="25"/>
      <x:c r="H80" s="29"/>
      <x:c r="I80" s="29"/>
      <x:c r="J80" s="29"/>
      <x:c r="K80" s="29"/>
      <x:c r="L80" s="29"/>
      <x:c r="M80" s="29"/>
      <x:c r="N80" s="29"/>
    </x:row>
    <x:row r="81" ht="29.25" customHeight="1">
      <x:c r="A81" s="18" t="str">
        <x:f>IF(C81="","",$D$5)</x:f>
      </x:c>
      <x:c r="B81" s="24"/>
      <x:c r="C81" s="24"/>
      <x:c r="D81" s="24"/>
      <x:c r="E81" s="24"/>
      <x:c r="F81" s="22" t="n">
        <x:v>1</x:v>
      </x:c>
      <x:c r="G81" s="24"/>
      <x:c r="H81" s="24"/>
      <x:c r="I81" s="24" t="str">
        <x:f>IF(C81="","","Available")</x:f>
      </x:c>
      <x:c r="J81" s="24"/>
      <x:c r="K81" s="24"/>
      <x:c r="L81" s="24" t="str">
        <x:f>IF(C81="","","Available")</x:f>
      </x:c>
      <x:c r="M81" s="24"/>
      <x:c r="N81" s="19" t="str">
        <x:f>IF(C81="","",IF(AND(L81&lt;&gt;"",L81&lt;&gt;"Available"),L81,I81))</x:f>
      </x:c>
    </x:row>
    <x:row r="82" ht="29.25" customHeight="1">
      <x:c r="A82" s="18"/>
      <x:c r="B82" s="19"/>
      <x:c r="C82" s="19"/>
      <x:c r="D82" s="19"/>
      <x:c r="E82" s="19"/>
      <x:c r="F82" s="22" t="n">
        <x:v>2</x:v>
      </x:c>
      <x:c r="G82" s="24"/>
      <x:c r="H82" s="19"/>
      <x:c r="I82" s="19"/>
      <x:c r="J82" s="19"/>
      <x:c r="K82" s="19"/>
      <x:c r="L82" s="19"/>
      <x:c r="M82" s="19"/>
      <x:c r="N82" s="19"/>
    </x:row>
    <x:row r="83" ht="29.25" customHeight="1">
      <x:c r="A83" s="20"/>
      <x:c r="B83" s="21"/>
      <x:c r="C83" s="21"/>
      <x:c r="D83" s="21"/>
      <x:c r="E83" s="21"/>
      <x:c r="F83" s="23" t="n">
        <x:v>3</x:v>
      </x:c>
      <x:c r="G83" s="25"/>
      <x:c r="H83" s="21"/>
      <x:c r="I83" s="21"/>
      <x:c r="J83" s="21"/>
      <x:c r="K83" s="21"/>
      <x:c r="L83" s="21"/>
      <x:c r="M83" s="21"/>
      <x:c r="N83" s="21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</x:sheetData>
  <x:conditionalFormatting sqref="I9:I83">
    <x:cfRule type="expression" dxfId="0" priority="1">
      <x:formula>$I9="Available"</x:formula>
    </x:cfRule>
    <x:cfRule type="expression" dxfId="1" priority="2">
      <x:formula>$I9="Passed"</x:formula>
    </x:cfRule>
    <x:cfRule type="expression" dxfId="2" priority="3">
      <x:formula>$I9="Failed"</x:formula>
    </x:cfRule>
    <x:cfRule type="expression" dxfId="3" priority="4">
      <x:formula>$I9="In Progress"</x:formula>
    </x:cfRule>
    <x:cfRule type="expression" dxfId="4" priority="5">
      <x:formula>$I9="Re-test"</x:formula>
    </x:cfRule>
  </x:conditionalFormatting>
  <x:conditionalFormatting sqref="L9:L83">
    <x:cfRule type="expression" dxfId="5" priority="6">
      <x:formula>$L9="Available"</x:formula>
    </x:cfRule>
    <x:cfRule type="expression" dxfId="6" priority="7">
      <x:formula>$L9="Passed"</x:formula>
    </x:cfRule>
    <x:cfRule type="expression" dxfId="7" priority="8">
      <x:formula>$L9="Failed"</x:formula>
    </x:cfRule>
    <x:cfRule type="expression" dxfId="8" priority="9">
      <x:formula>$L9="In Progress"</x:formula>
    </x:cfRule>
    <x:cfRule type="expression" dxfId="9" priority="10">
      <x:formula>$L9="Re-test"</x:formula>
    </x:cfRule>
  </x:conditionalFormatting>
  <x:conditionalFormatting sqref="N9:N83">
    <x:cfRule type="expression" dxfId="10" priority="11">
      <x:formula>$N9="Available"</x:formula>
    </x:cfRule>
    <x:cfRule type="expression" dxfId="11" priority="12">
      <x:formula>$N9="Passed"</x:formula>
    </x:cfRule>
    <x:cfRule type="expression" dxfId="12" priority="13">
      <x:formula>$N9="Failed"</x:formula>
    </x:cfRule>
    <x:cfRule type="expression" dxfId="13" priority="14">
      <x:formula>$N9="In Progress"</x:formula>
    </x:cfRule>
    <x:cfRule type="expression" dxfId="14" priority="15">
      <x:formula>$N9="Re-test"</x:formula>
    </x:cfRule>
  </x:conditionalFormatting>
  <x:dataValidations count="125">
    <x:dataValidation type="list" sqref="B9">
      <x:formula1>"CZJIRD2,CZJIRD3,CZJIRT2,CZJIRT3"</x:formula1>
    </x:dataValidation>
    <x:dataValidation type="list" sqref="H9">
      <x:formula1>"Tester 1,Tester 2,Tester 3"</x:formula1>
    </x:dataValidation>
    <x:dataValidation type="list" sqref="K9">
      <x:formula1>"Tester 1,Tester 2,Tester 3"</x:formula1>
    </x:dataValidation>
    <x:dataValidation type="list" sqref="I9">
      <x:formula1>"Available,Passed,Failed,In Progress,Re-test"</x:formula1>
    </x:dataValidation>
    <x:dataValidation type="list" sqref="L9">
      <x:formula1>"Available,Passed,Failed,In Progress,Re-test"</x:formula1>
    </x:dataValidation>
    <x:dataValidation type="list" sqref="B12">
      <x:formula1>"CZJIRD2,CZJIRD3,CZJIRT2,CZJIRT3"</x:formula1>
    </x:dataValidation>
    <x:dataValidation type="list" sqref="H12">
      <x:formula1>"Tester 1,Tester 2,Tester 3"</x:formula1>
    </x:dataValidation>
    <x:dataValidation type="list" sqref="K12">
      <x:formula1>"Tester 1,Tester 2,Tester 3"</x:formula1>
    </x:dataValidation>
    <x:dataValidation type="list" sqref="I12">
      <x:formula1>"Available,Passed,Failed,In Progress,Re-test"</x:formula1>
    </x:dataValidation>
    <x:dataValidation type="list" sqref="L12">
      <x:formula1>"Available,Passed,Failed,In Progress,Re-test"</x:formula1>
    </x:dataValidation>
    <x:dataValidation type="list" sqref="B15">
      <x:formula1>"CZJIRD2,CZJIRD3,CZJIRT2,CZJIRT3"</x:formula1>
    </x:dataValidation>
    <x:dataValidation type="list" sqref="H15">
      <x:formula1>"Tester 1,Tester 2,Tester 3"</x:formula1>
    </x:dataValidation>
    <x:dataValidation type="list" sqref="K15">
      <x:formula1>"Tester 1,Tester 2,Tester 3"</x:formula1>
    </x:dataValidation>
    <x:dataValidation type="list" sqref="I15">
      <x:formula1>"Available,Passed,Failed,In Progress,Re-test"</x:formula1>
    </x:dataValidation>
    <x:dataValidation type="list" sqref="L15">
      <x:formula1>"Available,Passed,Failed,In Progress,Re-test"</x:formula1>
    </x:dataValidation>
    <x:dataValidation type="list" sqref="B18">
      <x:formula1>"CZJIRD2,CZJIRD3,CZJIRT2,CZJIRT3"</x:formula1>
    </x:dataValidation>
    <x:dataValidation type="list" sqref="H18">
      <x:formula1>"Tester 1,Tester 2,Tester 3"</x:formula1>
    </x:dataValidation>
    <x:dataValidation type="list" sqref="K18">
      <x:formula1>"Tester 1,Tester 2,Tester 3"</x:formula1>
    </x:dataValidation>
    <x:dataValidation type="list" sqref="I18">
      <x:formula1>"Available,Passed,Failed,In Progress,Re-test"</x:formula1>
    </x:dataValidation>
    <x:dataValidation type="list" sqref="L18">
      <x:formula1>"Available,Passed,Failed,In Progress,Re-test"</x:formula1>
    </x:dataValidation>
    <x:dataValidation type="list" sqref="B21">
      <x:formula1>"CZJIRD2,CZJIRD3,CZJIRT2,CZJIRT3"</x:formula1>
    </x:dataValidation>
    <x:dataValidation type="list" sqref="H21">
      <x:formula1>"Tester 1,Tester 2,Tester 3"</x:formula1>
    </x:dataValidation>
    <x:dataValidation type="list" sqref="K21">
      <x:formula1>"Tester 1,Tester 2,Tester 3"</x:formula1>
    </x:dataValidation>
    <x:dataValidation type="list" sqref="I21">
      <x:formula1>"Available,Passed,Failed,In Progress,Re-test"</x:formula1>
    </x:dataValidation>
    <x:dataValidation type="list" sqref="L21">
      <x:formula1>"Available,Passed,Failed,In Progress,Re-test"</x:formula1>
    </x:dataValidation>
    <x:dataValidation type="list" sqref="B24">
      <x:formula1>"CZJIRD2,CZJIRD3,CZJIRT2,CZJIRT3"</x:formula1>
    </x:dataValidation>
    <x:dataValidation type="list" sqref="H24">
      <x:formula1>"Tester 1,Tester 2,Tester 3"</x:formula1>
    </x:dataValidation>
    <x:dataValidation type="list" sqref="K24">
      <x:formula1>"Tester 1,Tester 2,Tester 3"</x:formula1>
    </x:dataValidation>
    <x:dataValidation type="list" sqref="I24">
      <x:formula1>"Available,Passed,Failed,In Progress,Re-test"</x:formula1>
    </x:dataValidation>
    <x:dataValidation type="list" sqref="L24">
      <x:formula1>"Available,Passed,Failed,In Progress,Re-test"</x:formula1>
    </x:dataValidation>
    <x:dataValidation type="list" sqref="B27">
      <x:formula1>"CZJIRD2,CZJIRD3,CZJIRT2,CZJIRT3"</x:formula1>
    </x:dataValidation>
    <x:dataValidation type="list" sqref="H27">
      <x:formula1>"Tester 1,Tester 2,Tester 3"</x:formula1>
    </x:dataValidation>
    <x:dataValidation type="list" sqref="K27">
      <x:formula1>"Tester 1,Tester 2,Tester 3"</x:formula1>
    </x:dataValidation>
    <x:dataValidation type="list" sqref="I27">
      <x:formula1>"Available,Passed,Failed,In Progress,Re-test"</x:formula1>
    </x:dataValidation>
    <x:dataValidation type="list" sqref="L27">
      <x:formula1>"Available,Passed,Failed,In Progress,Re-test"</x:formula1>
    </x:dataValidation>
    <x:dataValidation type="list" sqref="B30">
      <x:formula1>"CZJIRD2,CZJIRD3,CZJIRT2,CZJIRT3"</x:formula1>
    </x:dataValidation>
    <x:dataValidation type="list" sqref="H30">
      <x:formula1>"Tester 1,Tester 2,Tester 3"</x:formula1>
    </x:dataValidation>
    <x:dataValidation type="list" sqref="K30">
      <x:formula1>"Tester 1,Tester 2,Tester 3"</x:formula1>
    </x:dataValidation>
    <x:dataValidation type="list" sqref="I30">
      <x:formula1>"Available,Passed,Failed,In Progress,Re-test"</x:formula1>
    </x:dataValidation>
    <x:dataValidation type="list" sqref="L30">
      <x:formula1>"Available,Passed,Failed,In Progress,Re-test"</x:formula1>
    </x:dataValidation>
    <x:dataValidation type="list" sqref="B33">
      <x:formula1>"CZJIRD2,CZJIRD3,CZJIRT2,CZJIRT3"</x:formula1>
    </x:dataValidation>
    <x:dataValidation type="list" sqref="H33">
      <x:formula1>"Tester 1,Tester 2,Tester 3"</x:formula1>
    </x:dataValidation>
    <x:dataValidation type="list" sqref="K33">
      <x:formula1>"Tester 1,Tester 2,Tester 3"</x:formula1>
    </x:dataValidation>
    <x:dataValidation type="list" sqref="I33">
      <x:formula1>"Available,Passed,Failed,In Progress,Re-test"</x:formula1>
    </x:dataValidation>
    <x:dataValidation type="list" sqref="L33">
      <x:formula1>"Available,Passed,Failed,In Progress,Re-test"</x:formula1>
    </x:dataValidation>
    <x:dataValidation type="list" sqref="B36">
      <x:formula1>"CZJIRD2,CZJIRD3,CZJIRT2,CZJIRT3"</x:formula1>
    </x:dataValidation>
    <x:dataValidation type="list" sqref="H36">
      <x:formula1>"Tester 1,Tester 2,Tester 3"</x:formula1>
    </x:dataValidation>
    <x:dataValidation type="list" sqref="K36">
      <x:formula1>"Tester 1,Tester 2,Tester 3"</x:formula1>
    </x:dataValidation>
    <x:dataValidation type="list" sqref="I36">
      <x:formula1>"Available,Passed,Failed,In Progress,Re-test"</x:formula1>
    </x:dataValidation>
    <x:dataValidation type="list" sqref="L36">
      <x:formula1>"Available,Passed,Failed,In Progress,Re-test"</x:formula1>
    </x:dataValidation>
    <x:dataValidation type="list" sqref="B39">
      <x:formula1>"CZJIRD2,CZJIRD3,CZJIRT2,CZJIRT3"</x:formula1>
    </x:dataValidation>
    <x:dataValidation type="list" sqref="H39">
      <x:formula1>"Tester 1,Tester 2,Tester 3"</x:formula1>
    </x:dataValidation>
    <x:dataValidation type="list" sqref="K39">
      <x:formula1>"Tester 1,Tester 2,Tester 3"</x:formula1>
    </x:dataValidation>
    <x:dataValidation type="list" sqref="I39">
      <x:formula1>"Available,Passed,Failed,In Progress,Re-test"</x:formula1>
    </x:dataValidation>
    <x:dataValidation type="list" sqref="L39">
      <x:formula1>"Available,Passed,Failed,In Progress,Re-test"</x:formula1>
    </x:dataValidation>
    <x:dataValidation type="list" sqref="B42">
      <x:formula1>"CZJIRD2,CZJIRD3,CZJIRT2,CZJIRT3"</x:formula1>
    </x:dataValidation>
    <x:dataValidation type="list" sqref="H42">
      <x:formula1>"Tester 1,Tester 2,Tester 3"</x:formula1>
    </x:dataValidation>
    <x:dataValidation type="list" sqref="K42">
      <x:formula1>"Tester 1,Tester 2,Tester 3"</x:formula1>
    </x:dataValidation>
    <x:dataValidation type="list" sqref="I42">
      <x:formula1>"Available,Passed,Failed,In Progress,Re-test"</x:formula1>
    </x:dataValidation>
    <x:dataValidation type="list" sqref="L42">
      <x:formula1>"Available,Passed,Failed,In Progress,Re-test"</x:formula1>
    </x:dataValidation>
    <x:dataValidation type="list" sqref="B45">
      <x:formula1>"CZJIRD2,CZJIRD3,CZJIRT2,CZJIRT3"</x:formula1>
    </x:dataValidation>
    <x:dataValidation type="list" sqref="H45">
      <x:formula1>"Tester 1,Tester 2,Tester 3"</x:formula1>
    </x:dataValidation>
    <x:dataValidation type="list" sqref="K45">
      <x:formula1>"Tester 1,Tester 2,Tester 3"</x:formula1>
    </x:dataValidation>
    <x:dataValidation type="list" sqref="I45">
      <x:formula1>"Available,Passed,Failed,In Progress,Re-test"</x:formula1>
    </x:dataValidation>
    <x:dataValidation type="list" sqref="L45">
      <x:formula1>"Available,Passed,Failed,In Progress,Re-test"</x:formula1>
    </x:dataValidation>
    <x:dataValidation type="list" sqref="B48">
      <x:formula1>"CZJIRD2,CZJIRD3,CZJIRT2,CZJIRT3"</x:formula1>
    </x:dataValidation>
    <x:dataValidation type="list" sqref="H48">
      <x:formula1>"Tester 1,Tester 2,Tester 3"</x:formula1>
    </x:dataValidation>
    <x:dataValidation type="list" sqref="K48">
      <x:formula1>"Tester 1,Tester 2,Tester 3"</x:formula1>
    </x:dataValidation>
    <x:dataValidation type="list" sqref="I48">
      <x:formula1>"Available,Passed,Failed,In Progress,Re-test"</x:formula1>
    </x:dataValidation>
    <x:dataValidation type="list" sqref="L48">
      <x:formula1>"Available,Passed,Failed,In Progress,Re-test"</x:formula1>
    </x:dataValidation>
    <x:dataValidation type="list" sqref="B51">
      <x:formula1>"CZJIRD2,CZJIRD3,CZJIRT2,CZJIRT3"</x:formula1>
    </x:dataValidation>
    <x:dataValidation type="list" sqref="H51">
      <x:formula1>"Tester 1,Tester 2,Tester 3"</x:formula1>
    </x:dataValidation>
    <x:dataValidation type="list" sqref="K51">
      <x:formula1>"Tester 1,Tester 2,Tester 3"</x:formula1>
    </x:dataValidation>
    <x:dataValidation type="list" sqref="I51">
      <x:formula1>"Available,Passed,Failed,In Progress,Re-test"</x:formula1>
    </x:dataValidation>
    <x:dataValidation type="list" sqref="L51">
      <x:formula1>"Available,Passed,Failed,In Progress,Re-test"</x:formula1>
    </x:dataValidation>
    <x:dataValidation type="list" sqref="B54">
      <x:formula1>"CZJIRD2,CZJIRD3,CZJIRT2,CZJIRT3"</x:formula1>
    </x:dataValidation>
    <x:dataValidation type="list" sqref="H54">
      <x:formula1>"Tester 1,Tester 2,Tester 3"</x:formula1>
    </x:dataValidation>
    <x:dataValidation type="list" sqref="K54">
      <x:formula1>"Tester 1,Tester 2,Tester 3"</x:formula1>
    </x:dataValidation>
    <x:dataValidation type="list" sqref="I54">
      <x:formula1>"Available,Passed,Failed,In Progress,Re-test"</x:formula1>
    </x:dataValidation>
    <x:dataValidation type="list" sqref="L54">
      <x:formula1>"Available,Passed,Failed,In Progress,Re-test"</x:formula1>
    </x:dataValidation>
    <x:dataValidation type="list" sqref="B57">
      <x:formula1>"CZJIRD2,CZJIRD3,CZJIRT2,CZJIRT3"</x:formula1>
    </x:dataValidation>
    <x:dataValidation type="list" sqref="H57">
      <x:formula1>"Tester 1,Tester 2,Tester 3"</x:formula1>
    </x:dataValidation>
    <x:dataValidation type="list" sqref="K57">
      <x:formula1>"Tester 1,Tester 2,Tester 3"</x:formula1>
    </x:dataValidation>
    <x:dataValidation type="list" sqref="I57">
      <x:formula1>"Available,Passed,Failed,In Progress,Re-test"</x:formula1>
    </x:dataValidation>
    <x:dataValidation type="list" sqref="L57">
      <x:formula1>"Available,Passed,Failed,In Progress,Re-test"</x:formula1>
    </x:dataValidation>
    <x:dataValidation type="list" sqref="B60">
      <x:formula1>"CZJIRD2,CZJIRD3,CZJIRT2,CZJIRT3"</x:formula1>
    </x:dataValidation>
    <x:dataValidation type="list" sqref="H60">
      <x:formula1>"Tester 1,Tester 2,Tester 3"</x:formula1>
    </x:dataValidation>
    <x:dataValidation type="list" sqref="K60">
      <x:formula1>"Tester 1,Tester 2,Tester 3"</x:formula1>
    </x:dataValidation>
    <x:dataValidation type="list" sqref="I60">
      <x:formula1>"Available,Passed,Failed,In Progress,Re-test"</x:formula1>
    </x:dataValidation>
    <x:dataValidation type="list" sqref="L60">
      <x:formula1>"Available,Passed,Failed,In Progress,Re-test"</x:formula1>
    </x:dataValidation>
    <x:dataValidation type="list" sqref="B63">
      <x:formula1>"CZJIRD2,CZJIRD3,CZJIRT2,CZJIRT3"</x:formula1>
    </x:dataValidation>
    <x:dataValidation type="list" sqref="H63">
      <x:formula1>"Tester 1,Tester 2,Tester 3"</x:formula1>
    </x:dataValidation>
    <x:dataValidation type="list" sqref="K63">
      <x:formula1>"Tester 1,Tester 2,Tester 3"</x:formula1>
    </x:dataValidation>
    <x:dataValidation type="list" sqref="I63">
      <x:formula1>"Available,Passed,Failed,In Progress,Re-test"</x:formula1>
    </x:dataValidation>
    <x:dataValidation type="list" sqref="L63">
      <x:formula1>"Available,Passed,Failed,In Progress,Re-test"</x:formula1>
    </x:dataValidation>
    <x:dataValidation type="list" sqref="B66">
      <x:formula1>"CZJIRD2,CZJIRD3,CZJIRT2,CZJIRT3"</x:formula1>
    </x:dataValidation>
    <x:dataValidation type="list" sqref="H66">
      <x:formula1>"Tester 1,Tester 2,Tester 3"</x:formula1>
    </x:dataValidation>
    <x:dataValidation type="list" sqref="K66">
      <x:formula1>"Tester 1,Tester 2,Tester 3"</x:formula1>
    </x:dataValidation>
    <x:dataValidation type="list" sqref="I66">
      <x:formula1>"Available,Passed,Failed,In Progress,Re-test"</x:formula1>
    </x:dataValidation>
    <x:dataValidation type="list" sqref="L66">
      <x:formula1>"Available,Passed,Failed,In Progress,Re-test"</x:formula1>
    </x:dataValidation>
    <x:dataValidation type="list" sqref="B69">
      <x:formula1>"CZJIRD2,CZJIRD3,CZJIRT2,CZJIRT3"</x:formula1>
    </x:dataValidation>
    <x:dataValidation type="list" sqref="H69">
      <x:formula1>"Tester 1,Tester 2,Tester 3"</x:formula1>
    </x:dataValidation>
    <x:dataValidation type="list" sqref="K69">
      <x:formula1>"Tester 1,Tester 2,Tester 3"</x:formula1>
    </x:dataValidation>
    <x:dataValidation type="list" sqref="I69">
      <x:formula1>"Available,Passed,Failed,In Progress,Re-test"</x:formula1>
    </x:dataValidation>
    <x:dataValidation type="list" sqref="L69">
      <x:formula1>"Available,Passed,Failed,In Progress,Re-test"</x:formula1>
    </x:dataValidation>
    <x:dataValidation type="list" sqref="B72">
      <x:formula1>"CZJIRD2,CZJIRD3,CZJIRT2,CZJIRT3"</x:formula1>
    </x:dataValidation>
    <x:dataValidation type="list" sqref="H72">
      <x:formula1>"Tester 1,Tester 2,Tester 3"</x:formula1>
    </x:dataValidation>
    <x:dataValidation type="list" sqref="K72">
      <x:formula1>"Tester 1,Tester 2,Tester 3"</x:formula1>
    </x:dataValidation>
    <x:dataValidation type="list" sqref="I72">
      <x:formula1>"Available,Passed,Failed,In Progress,Re-test"</x:formula1>
    </x:dataValidation>
    <x:dataValidation type="list" sqref="L72">
      <x:formula1>"Available,Passed,Failed,In Progress,Re-test"</x:formula1>
    </x:dataValidation>
    <x:dataValidation type="list" sqref="B75">
      <x:formula1>"CZJIRD2,CZJIRD3,CZJIRT2,CZJIRT3"</x:formula1>
    </x:dataValidation>
    <x:dataValidation type="list" sqref="H75">
      <x:formula1>"Tester 1,Tester 2,Tester 3"</x:formula1>
    </x:dataValidation>
    <x:dataValidation type="list" sqref="K75">
      <x:formula1>"Tester 1,Tester 2,Tester 3"</x:formula1>
    </x:dataValidation>
    <x:dataValidation type="list" sqref="I75">
      <x:formula1>"Available,Passed,Failed,In Progress,Re-test"</x:formula1>
    </x:dataValidation>
    <x:dataValidation type="list" sqref="L75">
      <x:formula1>"Available,Passed,Failed,In Progress,Re-test"</x:formula1>
    </x:dataValidation>
    <x:dataValidation type="list" sqref="B78">
      <x:formula1>"CZJIRD2,CZJIRD3,CZJIRT2,CZJIRT3"</x:formula1>
    </x:dataValidation>
    <x:dataValidation type="list" sqref="H78">
      <x:formula1>"Tester 1,Tester 2,Tester 3"</x:formula1>
    </x:dataValidation>
    <x:dataValidation type="list" sqref="K78">
      <x:formula1>"Tester 1,Tester 2,Tester 3"</x:formula1>
    </x:dataValidation>
    <x:dataValidation type="list" sqref="I78">
      <x:formula1>"Available,Passed,Failed,In Progress,Re-test"</x:formula1>
    </x:dataValidation>
    <x:dataValidation type="list" sqref="L78">
      <x:formula1>"Available,Passed,Failed,In Progress,Re-test"</x:formula1>
    </x:dataValidation>
    <x:dataValidation type="list" sqref="B81">
      <x:formula1>"CZJIRD2,CZJIRD3,CZJIRT2,CZJIRT3"</x:formula1>
    </x:dataValidation>
    <x:dataValidation type="list" sqref="H81">
      <x:formula1>"Tester 1,Tester 2,Tester 3"</x:formula1>
    </x:dataValidation>
    <x:dataValidation type="list" sqref="K81">
      <x:formula1>"Tester 1,Tester 2,Tester 3"</x:formula1>
    </x:dataValidation>
    <x:dataValidation type="list" sqref="I81">
      <x:formula1>"Available,Passed,Failed,In Progress,Re-test"</x:formula1>
    </x:dataValidation>
    <x:dataValidation type="list" sqref="L81">
      <x:formula1>"Available,Passed,Failed,In Progress,Re-test"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A57C"/>
  </x:sheetPr>
  <x:sheetViews>
    <x:sheetView showGridLines="0" workbookViewId="0"/>
  </x:sheetViews>
  <x:sheetFormatPr defaultRowHeight="15"/>
  <x:cols>
    <x:col min="1" max="1" width="18.670000076293945" hidden="0" customWidth="1"/>
    <x:col min="2" max="2" width="11.670000076293945" hidden="0" customWidth="1"/>
    <x:col min="3" max="3" width="11.670000076293945" hidden="0" customWidth="1"/>
    <x:col min="4" max="4" width="12.779999732971191" hidden="0" customWidth="1"/>
    <x:col min="5" max="5" width="11.670000076293945" hidden="0" customWidth="1"/>
    <x:col min="6" max="6" width="14.220000267028809" hidden="0" customWidth="1"/>
    <x:col min="7" max="7" width="3.890000104904175" hidden="0" customWidth="1"/>
    <x:col min="8" max="8" width="10.109999656677246" hidden="0" customWidth="1"/>
    <x:col min="9" max="9" width="10.109999656677246" hidden="0" customWidth="1"/>
    <x:col min="10" max="10" width="10.109999656677246" hidden="0" customWidth="1"/>
    <x:col min="11" max="11" width="10.109999656677246" hidden="0" customWidth="1"/>
    <x:col min="12" max="12" width="10.109999656677246" hidden="0" customWidth="1"/>
    <x:col min="13" max="13" width="10.109999656677246" hidden="0" customWidth="1"/>
    <x:col min="14" max="14" width="10.1099996566772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.5" customHeight="1">
      <x:c r="A2" s="32" t="str">
        <x:v>UAT Overview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1" customHeight="1">
      <x:c r="A3" s="5" t="str">
        <x:v>Current status counts each test once. Tester results count individual run outcomes. EX rows are illustrative.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9" t="str">
        <x:v>Total tests</x:v>
      </x:c>
      <x:c r="B5" s="9" t="str">
        <x:v>Passed</x:v>
      </x:c>
      <x:c r="C5" s="9" t="str">
        <x:v>Pass rate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9.25" customHeight="1">
      <x:c r="A6" s="3" t="n">
        <x:f>'UAT Log'!F5</x:f>
        <x:v>5</x:v>
      </x:c>
      <x:c r="B6" s="3" t="n">
        <x:f>COUNTIF('UAT Log'!N9:N83,"Passed")</x:f>
        <x:v>2</x:v>
      </x:c>
      <x:c r="C6" s="34" t="n">
        <x:f>IF(A6=0,0,B6/A6)</x:f>
        <x:v>0.4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35" t="str">
        <x:v>CURRENT STATUS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12" t="str">
        <x:v>Status</x:v>
      </x:c>
      <x:c r="B9" s="12" t="str">
        <x:v>Tests</x:v>
      </x:c>
      <x:c r="C9" s="12" t="str">
        <x:v>Share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2.5" customHeight="1">
      <x:c r="A10" s="37" t="str">
        <x:v>Available</x:v>
      </x:c>
      <x:c r="B10" s="2" t="n">
        <x:f>COUNTIF('UAT Log'!N9:N83,A10)</x:f>
        <x:v>1</x:v>
      </x:c>
      <x:c r="C10" s="33" t="n">
        <x:f>IF($A$6=0,0,B10/$A$6)</x:f>
        <x:v>0.2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2.5" customHeight="1">
      <x:c r="A11" s="39" t="str">
        <x:v>Passed</x:v>
      </x:c>
      <x:c r="B11" s="2" t="n">
        <x:f>COUNTIF('UAT Log'!N9:N83,A11)</x:f>
        <x:v>2</x:v>
      </x:c>
      <x:c r="C11" s="33" t="n">
        <x:f>IF($A$6=0,0,B11/$A$6)</x:f>
        <x:v>0.4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2.5" customHeight="1">
      <x:c r="A12" s="41" t="str">
        <x:v>Failed</x:v>
      </x:c>
      <x:c r="B12" s="2" t="n">
        <x:f>COUNTIF('UAT Log'!N9:N83,A12)</x:f>
        <x:v>0</x:v>
      </x:c>
      <x:c r="C12" s="33" t="n">
        <x:f>IF($A$6=0,0,B12/$A$6)</x:f>
        <x:v>0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2.5" customHeight="1">
      <x:c r="A13" s="43" t="str">
        <x:v>In Progress</x:v>
      </x:c>
      <x:c r="B13" s="2" t="n">
        <x:f>COUNTIF('UAT Log'!N9:N83,A13)</x:f>
        <x:v>1</x:v>
      </x:c>
      <x:c r="C13" s="33" t="n">
        <x:f>IF($A$6=0,0,B13/$A$6)</x:f>
        <x:v>0.2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2.5" customHeight="1">
      <x:c r="A14" s="45" t="str">
        <x:v>Re-test</x:v>
      </x:c>
      <x:c r="B14" s="2" t="n">
        <x:f>COUNTIF('UAT Log'!N9:N83,A14)</x:f>
        <x:v>1</x:v>
      </x:c>
      <x:c r="C14" s="33" t="n">
        <x:f>IF($A$6=0,0,B14/$A$6)</x:f>
        <x:v>0.2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4" t="str">
        <x:v>Current status uses Run 2 after it has a result; otherwise it uses Run 1.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35" t="str">
        <x:v>TESTER ACTIVITY · BOTH RUNS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6.25" customHeight="1">
      <x:c r="A26" s="13" t="str">
        <x:v>Tester</x:v>
      </x:c>
      <x:c r="B26" s="13" t="str">
        <x:v>Passed</x:v>
      </x:c>
      <x:c r="C26" s="13" t="str">
        <x:v>Failed</x:v>
      </x:c>
      <x:c r="D26" s="13" t="str">
        <x:v>In Progress</x:v>
      </x:c>
      <x:c r="E26" s="13" t="str">
        <x:v>Re-test</x:v>
      </x:c>
      <x:c r="F26" s="13" t="str">
        <x:v>Total outcomes</x:v>
      </x:c>
      <x:c r="G26" s="2"/>
      <x:c r="H26" s="2"/>
      <x:c r="I26" s="2"/>
      <x:c r="J26" s="2"/>
      <x:c r="K26" s="2"/>
      <x:c r="L26" s="2"/>
      <x:c r="M26" s="2"/>
      <x:c r="N26" s="2"/>
    </x:row>
    <x:row r="27" ht="22.5" customHeight="1">
      <x:c r="A27" s="46" t="str">
        <x:v>Tester 1</x:v>
      </x:c>
      <x:c r="B27" s="46" t="n">
        <x:f>COUNTIFS('UAT Log'!H9:H83,$A27,'UAT Log'!I9:I83,B$26)+COUNTIFS('UAT Log'!K9:K83,$A27,'UAT Log'!L9:L83,B$26)</x:f>
        <x:v>2</x:v>
      </x:c>
      <x:c r="C27" s="46" t="n">
        <x:f>COUNTIFS('UAT Log'!H9:H83,$A27,'UAT Log'!I9:I83,C$26)+COUNTIFS('UAT Log'!K9:K83,$A27,'UAT Log'!L9:L83,C$26)</x:f>
        <x:v>0</x:v>
      </x:c>
      <x:c r="D27" s="46" t="n">
        <x:f>COUNTIFS('UAT Log'!H9:H83,$A27,'UAT Log'!I9:I83,D$26)+COUNTIFS('UAT Log'!K9:K83,$A27,'UAT Log'!L9:L83,D$26)</x:f>
        <x:v>0</x:v>
      </x:c>
      <x:c r="E27" s="46" t="n">
        <x:f>COUNTIFS('UAT Log'!H9:H83,$A27,'UAT Log'!I9:I83,E$26)+COUNTIFS('UAT Log'!K9:K83,$A27,'UAT Log'!L9:L83,E$26)</x:f>
        <x:v>0</x:v>
      </x:c>
      <x:c r="F27" s="46" t="n">
        <x:f>SUM(B27:E27)</x:f>
        <x:v>2</x:v>
      </x:c>
      <x:c r="G27" s="2"/>
      <x:c r="H27" s="2"/>
      <x:c r="I27" s="2"/>
      <x:c r="J27" s="2"/>
      <x:c r="K27" s="2"/>
      <x:c r="L27" s="2"/>
      <x:c r="M27" s="2"/>
      <x:c r="N27" s="2"/>
    </x:row>
    <x:row r="28" ht="22.5" customHeight="1">
      <x:c r="A28" s="8" t="str">
        <x:v>Tester 2</x:v>
      </x:c>
      <x:c r="B28" s="8" t="n">
        <x:f>COUNTIFS('UAT Log'!H9:H83,$A28,'UAT Log'!I9:I83,B$26)+COUNTIFS('UAT Log'!K9:K83,$A28,'UAT Log'!L9:L83,B$26)</x:f>
        <x:v>0</x:v>
      </x:c>
      <x:c r="C28" s="8" t="n">
        <x:f>COUNTIFS('UAT Log'!H9:H83,$A28,'UAT Log'!I9:I83,C$26)+COUNTIFS('UAT Log'!K9:K83,$A28,'UAT Log'!L9:L83,C$26)</x:f>
        <x:v>1</x:v>
      </x:c>
      <x:c r="D28" s="8" t="n">
        <x:f>COUNTIFS('UAT Log'!H9:H83,$A28,'UAT Log'!I9:I83,D$26)+COUNTIFS('UAT Log'!K9:K83,$A28,'UAT Log'!L9:L83,D$26)</x:f>
        <x:v>0</x:v>
      </x:c>
      <x:c r="E28" s="8" t="n">
        <x:f>COUNTIFS('UAT Log'!H9:H83,$A28,'UAT Log'!I9:I83,E$26)+COUNTIFS('UAT Log'!K9:K83,$A28,'UAT Log'!L9:L83,E$26)</x:f>
        <x:v>1</x:v>
      </x:c>
      <x:c r="F28" s="8" t="n">
        <x:f>SUM(B28:E28)</x:f>
        <x:v>2</x:v>
      </x:c>
      <x:c r="G28" s="2"/>
      <x:c r="H28" s="2"/>
      <x:c r="I28" s="2"/>
      <x:c r="J28" s="2"/>
      <x:c r="K28" s="2"/>
      <x:c r="L28" s="2"/>
      <x:c r="M28" s="2"/>
      <x:c r="N28" s="2"/>
    </x:row>
    <x:row r="29" ht="22.5" customHeight="1">
      <x:c r="A29" s="46" t="str">
        <x:v>Tester 3</x:v>
      </x:c>
      <x:c r="B29" s="46" t="n">
        <x:f>COUNTIFS('UAT Log'!H9:H83,$A29,'UAT Log'!I9:I83,B$26)+COUNTIFS('UAT Log'!K9:K83,$A29,'UAT Log'!L9:L83,B$26)</x:f>
        <x:v>1</x:v>
      </x:c>
      <x:c r="C29" s="46" t="n">
        <x:f>COUNTIFS('UAT Log'!H9:H83,$A29,'UAT Log'!I9:I83,C$26)+COUNTIFS('UAT Log'!K9:K83,$A29,'UAT Log'!L9:L83,C$26)</x:f>
        <x:v>0</x:v>
      </x:c>
      <x:c r="D29" s="46" t="n">
        <x:f>COUNTIFS('UAT Log'!H9:H83,$A29,'UAT Log'!I9:I83,D$26)+COUNTIFS('UAT Log'!K9:K83,$A29,'UAT Log'!L9:L83,D$26)</x:f>
        <x:v>1</x:v>
      </x:c>
      <x:c r="E29" s="46" t="n">
        <x:f>COUNTIFS('UAT Log'!H9:H83,$A29,'UAT Log'!I9:I83,E$26)+COUNTIFS('UAT Log'!K9:K83,$A29,'UAT Log'!L9:L83,E$26)</x:f>
        <x:v>0</x:v>
      </x:c>
      <x:c r="F29" s="46" t="n">
        <x:f>SUM(B29:E29)</x:f>
        <x:v>2</x:v>
      </x:c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4" t="str">
        <x:v>Available tests have no completed outcome; activity counts Passed, Failed, In Progress and Re-test.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</x:sheetData>
  <x:pageMargins left="0.7" right="0.7" top="0.75" bottom="0.75" header="0.3" footer="0.3"/>
  <x:drawing xmlns:r="http://schemas.openxmlformats.org/officeDocument/2006/relationships" r:id="R4383035a7d8d4b03"/>
</x:worksheet>
</file>